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" sheetId="1" state="visible" r:id="rId1"/>
    <sheet xmlns:r="http://schemas.openxmlformats.org/officeDocument/2006/relationships" name="Rate Card" sheetId="2" state="visible" r:id="rId2"/>
    <sheet xmlns:r="http://schemas.openxmlformats.org/officeDocument/2006/relationships" name="Billing (TNM)" sheetId="3" state="visible" r:id="rId3"/>
    <sheet xmlns:r="http://schemas.openxmlformats.org/officeDocument/2006/relationships" name="Outcome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#,##0.0"/>
    <numFmt numFmtId="166" formatCode="$#,##0"/>
    <numFmt numFmtId="167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DDEBF7"/>
      <sz val="10"/>
    </font>
    <font>
      <b val="1"/>
      <color rgb="00FFFFFF"/>
      <sz val="11"/>
    </font>
    <font>
      <b val="1"/>
      <color rgb="001F2937"/>
    </font>
    <font>
      <b val="1"/>
      <color rgb="00FFFFFF"/>
      <sz val="10"/>
    </font>
    <font>
      <i val="1"/>
      <color rgb="006E7781"/>
      <sz val="9"/>
    </font>
    <font>
      <b val="1"/>
      <color rgb="001F4E79"/>
      <sz val="16"/>
    </font>
    <font>
      <b val="1"/>
      <color rgb="00FFFFFF"/>
      <sz val="15"/>
    </font>
    <font>
      <i val="1"/>
      <color rgb="001F4E79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4F9FD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FEFEF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BFD3E6"/>
      </left>
      <right style="thin">
        <color rgb="00BFD3E6"/>
      </right>
      <top style="thin">
        <color rgb="00BFD3E6"/>
      </top>
      <bottom style="thin">
        <color rgb="00BFD3E6"/>
      </bottom>
    </border>
    <border>
      <left/>
      <right/>
      <top style="thin">
        <color rgb="00BFD3E6"/>
      </top>
      <bottom/>
      <diagonal/>
    </border>
    <border>
      <left/>
      <right style="thin">
        <color rgb="00BFD3E6"/>
      </right>
      <top style="thin">
        <color rgb="00BFD3E6"/>
      </top>
      <bottom/>
      <diagonal/>
    </border>
    <border>
      <left/>
      <right style="thin">
        <color rgb="00BFD3E6"/>
      </right>
      <top style="thin">
        <color rgb="00BFD3E6"/>
      </top>
      <bottom style="thin">
        <color rgb="00BFD3E6"/>
      </bottom>
      <diagonal/>
    </border>
    <border>
      <left/>
      <right/>
      <top style="thin">
        <color rgb="00BFD3E6"/>
      </top>
      <bottom style="thin">
        <color rgb="00BFD3E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left" vertical="center" wrapText="1" indent="1"/>
    </xf>
    <xf numFmtId="0" fontId="5" fillId="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indent="1"/>
    </xf>
    <xf numFmtId="0" fontId="0" fillId="5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3" fontId="0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3" fontId="4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4" fillId="7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vertical="center"/>
    </xf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vertical="center"/>
    </xf>
    <xf numFmtId="0" fontId="4" fillId="8" borderId="1" applyAlignment="1" pivotButton="0" quotePrefix="0" xfId="0">
      <alignment horizontal="left" vertical="center" indent="1"/>
    </xf>
    <xf numFmtId="0" fontId="0" fillId="0" borderId="4" pivotButton="0" quotePrefix="0" xfId="0"/>
    <xf numFmtId="3" fontId="4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166" fontId="4" fillId="8" borderId="1" applyAlignment="1" pivotButton="0" quotePrefix="0" xfId="0">
      <alignment vertical="center"/>
    </xf>
    <xf numFmtId="166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5" pivotButton="0" quotePrefix="0" xfId="0"/>
    <xf numFmtId="166" fontId="4" fillId="4" borderId="1" applyAlignment="1" pivotButton="0" quotePrefix="0" xfId="0">
      <alignment vertical="center"/>
    </xf>
    <xf numFmtId="0" fontId="4" fillId="5" borderId="1" applyAlignment="1" pivotButton="0" quotePrefix="0" xfId="0">
      <alignment horizontal="left" vertical="center" indent="1"/>
    </xf>
    <xf numFmtId="166" fontId="4" fillId="5" borderId="1" applyAlignment="1" pivotButton="0" quotePrefix="0" xfId="0">
      <alignment vertical="center"/>
    </xf>
    <xf numFmtId="0" fontId="4" fillId="9" borderId="1" applyAlignment="1" pivotButton="0" quotePrefix="0" xfId="0">
      <alignment horizontal="left" vertical="center" indent="1"/>
    </xf>
    <xf numFmtId="167" fontId="7" fillId="9" borderId="1" applyAlignment="1" pivotButton="0" quotePrefix="0" xfId="0">
      <alignment vertical="center"/>
    </xf>
    <xf numFmtId="167" fontId="0" fillId="6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164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167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7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/ Expenses /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'Billing (TNM)'!I4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'Billing (TNM)'!$H$5:$H$7</f>
            </numRef>
          </cat>
          <val>
            <numRef>
              <f>'Billing (TNM)'!$I$5:$I$7</f>
            </numRef>
          </val>
        </ser>
        <dLbls>
          <numFmt formatCode="$#,##0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breakdown (yearly)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'Billing (TNM)'!$A$24:$A$28</f>
            </numRef>
          </cat>
          <val>
            <numRef>
              <f>'Billing (TNM)'!$D$24:$D$28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 pays  -  TNM vs Outcome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'Outcome'!O16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'Outcome'!$N$17:$N$18</f>
            </numRef>
          </cat>
          <val>
            <numRef>
              <f>'Outcome'!$O$17:$O$18</f>
            </numRef>
          </val>
        </ser>
        <ser>
          <idx val="1"/>
          <order val="1"/>
          <tx>
            <strRef>
              <f>'Outcome'!P16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'Outcome'!$N$17:$N$18</f>
            </numRef>
          </cat>
          <val>
            <numRef>
              <f>'Outcome'!$P$17:$P$18</f>
            </numRef>
          </val>
        </ser>
        <dLbls>
          <numFmt formatCode="$#,##0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Opus margin %  -  TNM vs Outcome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'Outcome'!O20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'Outcome'!$N$21:$N$22</f>
            </numRef>
          </cat>
          <val>
            <numRef>
              <f>'Outcome'!$O$21:$O$22</f>
            </numRef>
          </val>
        </ser>
        <ser>
          <idx val="1"/>
          <order val="1"/>
          <tx>
            <strRef>
              <f>'Outcome'!P20</f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prstDash val="solid"/>
            </a:ln>
          </spPr>
          <cat>
            <numRef>
              <f>'Outcome'!$N$21:$N$22</f>
            </numRef>
          </cat>
          <val>
            <numRef>
              <f>'Outcome'!$P$21:$P$22</f>
            </numRef>
          </val>
        </ser>
        <dLbls>
          <numFmt formatCode="0%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Price per story point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'Outcome'!O24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'Outcome'!$N$25:$N$26</f>
            </numRef>
          </cat>
          <val>
            <numRef>
              <f>'Outcome'!$O$25:$O$26</f>
            </numRef>
          </val>
        </ser>
        <ser>
          <idx val="1"/>
          <order val="1"/>
          <tx>
            <strRef>
              <f>'Outcome'!P24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'Outcome'!$N$25:$N$26</f>
            </numRef>
          </cat>
          <val>
            <numRef>
              <f>'Outcome'!$P$25:$P$26</f>
            </numRef>
          </val>
        </ser>
        <dLbls>
          <numFmt formatCode="$#,##0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Who benefits (annual 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'Dashboard'!$D$5:$D$6</f>
            </numRef>
          </cat>
          <val>
            <numRef>
              <f>'Dashboard'!$E$5:$E$6</f>
            </numRef>
          </val>
        </ser>
        <dLbls>
          <numFmt formatCode="$#,##0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8</row>
      <rowOff>0</rowOff>
    </from>
    <ext cx="39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24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15</row>
      <rowOff>0</rowOff>
    </from>
    <ext cx="39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396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47</row>
      <rowOff>0</rowOff>
    </from>
    <ext cx="3960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30" customHeight="1">
      <c r="A1" s="1" t="inlineStr">
        <is>
          <t>Opus Pulse  -  TNM to Outcome Conversion Model</t>
        </is>
      </c>
    </row>
    <row r="2" ht="18" customHeight="1">
      <c r="A2" s="2" t="inlineStr">
        <is>
          <t>A live model. Change any YELLOW input cell and every result, table and chart recalculates.</t>
        </is>
      </c>
    </row>
    <row r="3"/>
    <row r="4" ht="19" customHeight="1">
      <c r="A4" s="3" t="inlineStr">
        <is>
          <t>Tabs in this workbook</t>
        </is>
      </c>
    </row>
    <row r="5" ht="30" customHeight="1">
      <c r="A5" s="4" t="inlineStr">
        <is>
          <t>Rate Card</t>
        </is>
      </c>
      <c r="B5" s="5" t="inlineStr">
        <is>
          <t>Master billing rate per role x experience. The Billing tab looks rates up from here (INDEX/MATCH).</t>
        </is>
      </c>
    </row>
    <row r="6" ht="30" customHeight="1">
      <c r="A6" s="4" t="inlineStr">
        <is>
          <t>Billing (TNM)</t>
        </is>
      </c>
      <c r="B6" s="5" t="inlineStr">
        <is>
          <t>Time &amp; Material model: team, calendar (holidays/leaves) and expenses -&gt; monthly &amp; yearly billing, profit and margin. Includes a revenue/expense/profit chart and an expense pie.</t>
        </is>
      </c>
    </row>
    <row r="7" ht="30" customHeight="1">
      <c r="A7" s="4" t="inlineStr">
        <is>
          <t>Outcome</t>
        </is>
      </c>
      <c r="B7" s="5" t="inlineStr">
        <is>
          <t>Outcome-based conversion: two per-person capacity cases (7 vs 8 SP) with a 20% reserve. Derives velocity, price per story point, margin and the client win-win. Three comparison charts.</t>
        </is>
      </c>
    </row>
    <row r="8" ht="16" customHeight="1">
      <c r="A8" s="4" t="inlineStr">
        <is>
          <t>Dashboard</t>
        </is>
      </c>
      <c r="B8" s="5" t="inlineStr">
        <is>
          <t>One-screen verdict: TNM vs Outcome, who benefits, by how much.</t>
        </is>
      </c>
    </row>
    <row r="9" ht="19" customHeight="1">
      <c r="A9" s="3" t="inlineStr">
        <is>
          <t>How to use</t>
        </is>
      </c>
    </row>
    <row r="10" ht="30" customHeight="1">
      <c r="A10" s="4" t="inlineStr">
        <is>
          <t>Step 1</t>
        </is>
      </c>
      <c r="B10" s="5" t="inlineStr">
        <is>
          <t>Edit only the YELLOW cells (team counts, rates, holidays, leaves, expenses, capacity, reserve %, efficiency %, discount %, min invoice).</t>
        </is>
      </c>
    </row>
    <row r="11" ht="28" customHeight="1">
      <c r="A11" s="4" t="inlineStr">
        <is>
          <t>Step 2</t>
        </is>
      </c>
      <c r="B11" s="5" t="inlineStr">
        <is>
          <t>All white / shaded cells are formulas and update automatically. Charts redraw on any change.</t>
        </is>
      </c>
    </row>
    <row r="12" ht="19" customHeight="1">
      <c r="A12" s="3" t="inlineStr">
        <is>
          <t>Key assumptions</t>
        </is>
      </c>
    </row>
    <row r="13" ht="28" customHeight="1">
      <c r="A13" s="4" t="inlineStr">
        <is>
          <t>Weekends</t>
        </is>
      </c>
      <c r="B13" s="5" t="inlineStr">
        <is>
          <t>104 days/year. Working days = 365 minus 104 minus holidays minus leaves.</t>
        </is>
      </c>
    </row>
    <row r="14" ht="16" customHeight="1">
      <c r="A14" s="4" t="inlineStr">
        <is>
          <t>Hours/day</t>
        </is>
      </c>
      <c r="B14" s="5" t="inlineStr">
        <is>
          <t>8 (configurable). Billable hours/year = working days x hours/day.</t>
        </is>
      </c>
    </row>
    <row r="15" ht="16" customHeight="1">
      <c r="A15" s="4" t="inlineStr">
        <is>
          <t>Currency</t>
        </is>
      </c>
      <c r="B15" s="5" t="inlineStr">
        <is>
          <t>USD in this model.</t>
        </is>
      </c>
    </row>
    <row r="16" ht="19" customHeight="1">
      <c r="A16" s="3" t="inlineStr">
        <is>
          <t>Formula reference</t>
        </is>
      </c>
    </row>
    <row r="17" ht="16" customHeight="1">
      <c r="A17" s="4" t="inlineStr">
        <is>
          <t>Billable days/year</t>
        </is>
      </c>
      <c r="B17" s="5" t="inlineStr">
        <is>
          <t>365  -  104 weekends  -  holidays  -  leaves</t>
        </is>
      </c>
    </row>
    <row r="18" ht="16" customHeight="1">
      <c r="A18" s="4" t="inlineStr">
        <is>
          <t>Monthly billing</t>
        </is>
      </c>
      <c r="B18" s="5" t="inlineStr">
        <is>
          <t>Sum of (count x rate x billable hours per month)</t>
        </is>
      </c>
    </row>
    <row r="19" ht="16" customHeight="1">
      <c r="A19" s="4" t="inlineStr">
        <is>
          <t>Profit margin %</t>
        </is>
      </c>
      <c r="B19" s="5" t="inlineStr">
        <is>
          <t>(revenue  -  expenses)  /  revenue</t>
        </is>
      </c>
    </row>
    <row r="20" ht="16" customHeight="1">
      <c r="A20" s="4" t="inlineStr">
        <is>
          <t>Effective velocity</t>
        </is>
      </c>
      <c r="B20" s="5" t="inlineStr">
        <is>
          <t>per-person SP  x  headcount  x  (1 - reserve %)</t>
        </is>
      </c>
    </row>
    <row r="21" ht="16" customHeight="1">
      <c r="A21" s="4" t="inlineStr">
        <is>
          <t>Deliverable SP/month</t>
        </is>
      </c>
      <c r="B21" s="5" t="inlineStr">
        <is>
          <t>effective velocity  x  sprints per month</t>
        </is>
      </c>
    </row>
    <row r="22" ht="16" customHeight="1">
      <c r="A22" s="4" t="inlineStr">
        <is>
          <t>Break-even price/SP</t>
        </is>
      </c>
      <c r="B22" s="5" t="inlineStr">
        <is>
          <t>TNM monthly billing  /  deliverable SP per month</t>
        </is>
      </c>
    </row>
    <row r="23" ht="16" customHeight="1">
      <c r="A23" s="4" t="inlineStr">
        <is>
          <t>Recommended price/SP</t>
        </is>
      </c>
      <c r="B23" s="5" t="inlineStr">
        <is>
          <t>break-even  x  (1 - client discount %)</t>
        </is>
      </c>
    </row>
    <row r="24" ht="16" customHeight="1">
      <c r="A24" s="4" t="inlineStr">
        <is>
          <t>Outcome cost/month</t>
        </is>
      </c>
      <c r="B24" s="5" t="inlineStr">
        <is>
          <t>TNM monthly cost  /  (1 + efficiency gain %)</t>
        </is>
      </c>
    </row>
    <row r="25" ht="16" customHeight="1">
      <c r="A25" s="4" t="inlineStr">
        <is>
          <t>Outcome margin %</t>
        </is>
      </c>
      <c r="B25" s="5" t="inlineStr">
        <is>
          <t>(monthly bill  -  outcome cost)  /  monthly bill</t>
        </is>
      </c>
    </row>
    <row r="26" ht="16" customHeight="1">
      <c r="A26" s="4" t="inlineStr">
        <is>
          <t>WIN-WIN test</t>
        </is>
      </c>
      <c r="B26" s="5" t="inlineStr">
        <is>
          <t>client pays less than TNM  AND  Opus absolute profit is not lower</t>
        </is>
      </c>
    </row>
    <row r="27" ht="19" customHeight="1">
      <c r="A27" s="3" t="inlineStr">
        <is>
          <t>Why a client converts (the core insight)</t>
        </is>
      </c>
    </row>
    <row r="28" ht="30" customHeight="1">
      <c r="A28" s="4" t="inlineStr">
        <is>
          <t>Pay for results</t>
        </is>
      </c>
      <c r="B28" s="5" t="inlineStr">
        <is>
          <t>Under TNM the client pays for TIME and its waste (rework, ramp-up, the 15% meeting/grooming reserve, attrition, rate hikes). Under Outcome the client pays only for ACCEPTED story points at a fixed rate.</t>
        </is>
      </c>
    </row>
    <row r="29" ht="30" customHeight="1">
      <c r="A29" s="4" t="inlineStr">
        <is>
          <t>Risk transfer</t>
        </is>
      </c>
      <c r="B29" s="5" t="inlineStr">
        <is>
          <t>Schedule, attrition, ramp-up and estimation risk move from the client to Opus; the client gets price certainty and a throughput SLA.</t>
        </is>
      </c>
    </row>
    <row r="30" ht="30" customHeight="1">
      <c r="A30" s="4" t="inlineStr">
        <is>
          <t>Shared surplus</t>
        </is>
      </c>
      <c r="B30" s="5" t="inlineStr">
        <is>
          <t>Outcome lets Opus KEEP efficiency gains (accelerators / reuse / cheaper mix) that TNM would return as fewer billed hours. Opus prices below the client's TNM cost-per-point and still earns more - both win.</t>
        </is>
      </c>
    </row>
  </sheetData>
  <mergeCells count="7">
    <mergeCell ref="A4:B4"/>
    <mergeCell ref="A2:B2"/>
    <mergeCell ref="A16:B16"/>
    <mergeCell ref="A1:B1"/>
    <mergeCell ref="A9:B9"/>
    <mergeCell ref="A27:B27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22" customWidth="1" min="4" max="4"/>
  </cols>
  <sheetData>
    <row r="1" ht="30" customHeight="1">
      <c r="A1" s="1" t="inlineStr">
        <is>
          <t>Account Rate Card  -  Apex Bank</t>
        </is>
      </c>
    </row>
    <row r="2" ht="18" customHeight="1">
      <c r="A2" s="2" t="inlineStr">
        <is>
          <t>Standard billing rate by role and experience. YELLOW = editable.</t>
        </is>
      </c>
    </row>
    <row r="3"/>
    <row r="4">
      <c r="A4" s="6" t="inlineStr">
        <is>
          <t>Role</t>
        </is>
      </c>
      <c r="B4" s="6" t="inlineStr">
        <is>
          <t>Experience (yrs)</t>
        </is>
      </c>
      <c r="C4" s="6" t="inlineStr">
        <is>
          <t>Billing Rate/hr ($)</t>
        </is>
      </c>
      <c r="D4" s="6" t="inlineStr">
        <is>
          <t>Key (auto)</t>
        </is>
      </c>
    </row>
    <row r="5">
      <c r="A5" s="7" t="inlineStr">
        <is>
          <t>Sr Dev</t>
        </is>
      </c>
      <c r="B5" s="8" t="inlineStr">
        <is>
          <t>5 to 8</t>
        </is>
      </c>
      <c r="C5" s="9" t="n">
        <v>28</v>
      </c>
      <c r="D5" s="10">
        <f>A5&amp;"|"&amp;B5</f>
        <v/>
      </c>
    </row>
    <row r="6">
      <c r="A6" s="11" t="inlineStr">
        <is>
          <t>Sr Dev</t>
        </is>
      </c>
      <c r="B6" s="12" t="inlineStr">
        <is>
          <t>8 to 10</t>
        </is>
      </c>
      <c r="C6" s="9" t="n">
        <v>30</v>
      </c>
      <c r="D6" s="13">
        <f>A6&amp;"|"&amp;B6</f>
        <v/>
      </c>
    </row>
    <row r="7">
      <c r="A7" s="7" t="inlineStr">
        <is>
          <t>Tech Lead (Dev)</t>
        </is>
      </c>
      <c r="B7" s="8" t="inlineStr">
        <is>
          <t>9 to 12</t>
        </is>
      </c>
      <c r="C7" s="9" t="n">
        <v>35</v>
      </c>
      <c r="D7" s="10">
        <f>A7&amp;"|"&amp;B7</f>
        <v/>
      </c>
    </row>
    <row r="8">
      <c r="A8" s="11" t="inlineStr">
        <is>
          <t>Sr QA</t>
        </is>
      </c>
      <c r="B8" s="12" t="inlineStr">
        <is>
          <t>5 to 8</t>
        </is>
      </c>
      <c r="C8" s="9" t="n">
        <v>28</v>
      </c>
      <c r="D8" s="13">
        <f>A8&amp;"|"&amp;B8</f>
        <v/>
      </c>
    </row>
    <row r="9">
      <c r="A9" s="7" t="inlineStr">
        <is>
          <t>Lead QA</t>
        </is>
      </c>
      <c r="B9" s="8" t="inlineStr">
        <is>
          <t>9 to 12</t>
        </is>
      </c>
      <c r="C9" s="9" t="n">
        <v>35</v>
      </c>
      <c r="D9" s="10">
        <f>A9&amp;"|"&amp;B9</f>
        <v/>
      </c>
    </row>
    <row r="10">
      <c r="A10" s="11" t="inlineStr">
        <is>
          <t>PO</t>
        </is>
      </c>
      <c r="B10" s="12" t="inlineStr">
        <is>
          <t>12 to 14</t>
        </is>
      </c>
      <c r="C10" s="9" t="n">
        <v>37</v>
      </c>
      <c r="D10" s="13">
        <f>A10&amp;"|"&amp;B10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I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3" customWidth="1" min="4" max="4"/>
    <col width="16" customWidth="1" min="5" max="5"/>
    <col width="16" customWidth="1" min="6" max="6"/>
    <col width="2" customWidth="1" min="7" max="7"/>
    <col width="18" customWidth="1" min="8" max="8"/>
    <col width="14" customWidth="1" min="9" max="9"/>
  </cols>
  <sheetData>
    <row r="1" ht="30" customHeight="1">
      <c r="A1" s="1" t="inlineStr">
        <is>
          <t>Billing Simulator  -  Time &amp; Material (TNM)</t>
        </is>
      </c>
    </row>
    <row r="2" ht="18" customHeight="1">
      <c r="A2" s="2" t="inlineStr">
        <is>
          <t>YELLOW = inputs. Revenue, profit and margin are live formulas.</t>
        </is>
      </c>
    </row>
    <row r="3" ht="19" customHeight="1">
      <c r="A3" s="3" t="inlineStr">
        <is>
          <t>Company calendar &amp; hours</t>
        </is>
      </c>
    </row>
    <row r="4">
      <c r="A4" s="14" t="inlineStr">
        <is>
          <t>Hours per day</t>
        </is>
      </c>
      <c r="B4" s="15" t="n">
        <v>8</v>
      </c>
      <c r="H4" s="16" t="inlineStr">
        <is>
          <t>Monthly ($)</t>
        </is>
      </c>
      <c r="I4" s="16" t="inlineStr">
        <is>
          <t>Value</t>
        </is>
      </c>
    </row>
    <row r="5">
      <c r="A5" s="11" t="inlineStr">
        <is>
          <t>Weekend days / year</t>
        </is>
      </c>
      <c r="B5" s="17" t="n">
        <v>104</v>
      </c>
      <c r="H5" s="18" t="inlineStr">
        <is>
          <t>Revenue</t>
        </is>
      </c>
      <c r="I5" s="19">
        <f>B33</f>
        <v/>
      </c>
    </row>
    <row r="6">
      <c r="A6" s="14" t="inlineStr">
        <is>
          <t>Public holidays / year</t>
        </is>
      </c>
      <c r="B6" s="15" t="n">
        <v>10</v>
      </c>
      <c r="H6" s="18" t="inlineStr">
        <is>
          <t>Expenses</t>
        </is>
      </c>
      <c r="I6" s="19">
        <f>B35</f>
        <v/>
      </c>
    </row>
    <row r="7">
      <c r="A7" s="14" t="inlineStr">
        <is>
          <t>Leaves / year</t>
        </is>
      </c>
      <c r="B7" s="15" t="n">
        <v>21</v>
      </c>
      <c r="H7" s="18" t="inlineStr">
        <is>
          <t>Profit</t>
        </is>
      </c>
      <c r="I7" s="19">
        <f>B37</f>
        <v/>
      </c>
    </row>
    <row r="8">
      <c r="A8" s="11" t="inlineStr">
        <is>
          <t>Billable days / year</t>
        </is>
      </c>
      <c r="B8" s="17">
        <f>365-B5-B6-B7</f>
        <v/>
      </c>
    </row>
    <row r="9">
      <c r="A9" s="11" t="inlineStr">
        <is>
          <t>Billable hours / year (per resource)</t>
        </is>
      </c>
      <c r="B9" s="17">
        <f>B8*B4</f>
        <v/>
      </c>
    </row>
    <row r="10">
      <c r="A10" s="11" t="inlineStr">
        <is>
          <t>Billable hours / month (per resource)</t>
        </is>
      </c>
      <c r="B10" s="20">
        <f>B9/12</f>
        <v/>
      </c>
    </row>
    <row r="11"/>
    <row r="12" ht="19" customHeight="1">
      <c r="A12" s="3" t="inlineStr">
        <is>
          <t>Project team</t>
        </is>
      </c>
    </row>
    <row r="13">
      <c r="A13" s="6" t="inlineStr">
        <is>
          <t>Role</t>
        </is>
      </c>
      <c r="B13" s="6" t="inlineStr">
        <is>
          <t>Experience</t>
        </is>
      </c>
      <c r="C13" s="6" t="inlineStr">
        <is>
          <t>Count</t>
        </is>
      </c>
      <c r="D13" s="6" t="inlineStr">
        <is>
          <t>Rate/hr</t>
        </is>
      </c>
      <c r="E13" s="6" t="inlineStr">
        <is>
          <t>Monthly Revenue</t>
        </is>
      </c>
      <c r="F13" s="6" t="inlineStr">
        <is>
          <t>Yearly Revenue</t>
        </is>
      </c>
    </row>
    <row r="14">
      <c r="A14" s="7" t="inlineStr">
        <is>
          <t>Sr Dev</t>
        </is>
      </c>
      <c r="B14" s="8" t="inlineStr">
        <is>
          <t>5 to 8</t>
        </is>
      </c>
      <c r="C14" s="15" t="n">
        <v>3</v>
      </c>
      <c r="D14" s="21">
        <f>INDEX('Rate Card'!$C$5:$C$10,MATCH(A14&amp;"|"&amp;B14,'Rate Card'!$D$5:$D$10,0))</f>
        <v/>
      </c>
      <c r="E14" s="22">
        <f>C14*D14*$B$10</f>
        <v/>
      </c>
      <c r="F14" s="22">
        <f>C14*D14*$B$9</f>
        <v/>
      </c>
    </row>
    <row r="15">
      <c r="A15" s="11" t="inlineStr">
        <is>
          <t>Sr Dev</t>
        </is>
      </c>
      <c r="B15" s="12" t="inlineStr">
        <is>
          <t>8 to 10</t>
        </is>
      </c>
      <c r="C15" s="15" t="n">
        <v>2</v>
      </c>
      <c r="D15" s="23">
        <f>INDEX('Rate Card'!$C$5:$C$10,MATCH(A15&amp;"|"&amp;B15,'Rate Card'!$D$5:$D$10,0))</f>
        <v/>
      </c>
      <c r="E15" s="24">
        <f>C15*D15*$B$10</f>
        <v/>
      </c>
      <c r="F15" s="24">
        <f>C15*D15*$B$9</f>
        <v/>
      </c>
    </row>
    <row r="16">
      <c r="A16" s="7" t="inlineStr">
        <is>
          <t>Tech Lead (Dev)</t>
        </is>
      </c>
      <c r="B16" s="8" t="inlineStr">
        <is>
          <t>9 to 12</t>
        </is>
      </c>
      <c r="C16" s="15" t="n">
        <v>1</v>
      </c>
      <c r="D16" s="21">
        <f>INDEX('Rate Card'!$C$5:$C$10,MATCH(A16&amp;"|"&amp;B16,'Rate Card'!$D$5:$D$10,0))</f>
        <v/>
      </c>
      <c r="E16" s="22">
        <f>C16*D16*$B$10</f>
        <v/>
      </c>
      <c r="F16" s="22">
        <f>C16*D16*$B$9</f>
        <v/>
      </c>
    </row>
    <row r="17">
      <c r="A17" s="11" t="inlineStr">
        <is>
          <t>Sr QA</t>
        </is>
      </c>
      <c r="B17" s="12" t="inlineStr">
        <is>
          <t>5 to 8</t>
        </is>
      </c>
      <c r="C17" s="15" t="n">
        <v>1</v>
      </c>
      <c r="D17" s="23">
        <f>INDEX('Rate Card'!$C$5:$C$10,MATCH(A17&amp;"|"&amp;B17,'Rate Card'!$D$5:$D$10,0))</f>
        <v/>
      </c>
      <c r="E17" s="24">
        <f>C17*D17*$B$10</f>
        <v/>
      </c>
      <c r="F17" s="24">
        <f>C17*D17*$B$9</f>
        <v/>
      </c>
    </row>
    <row r="18">
      <c r="A18" s="7" t="inlineStr">
        <is>
          <t>Lead QA</t>
        </is>
      </c>
      <c r="B18" s="8" t="inlineStr">
        <is>
          <t>9 to 12</t>
        </is>
      </c>
      <c r="C18" s="15" t="n">
        <v>2</v>
      </c>
      <c r="D18" s="21">
        <f>INDEX('Rate Card'!$C$5:$C$10,MATCH(A18&amp;"|"&amp;B18,'Rate Card'!$D$5:$D$10,0))</f>
        <v/>
      </c>
      <c r="E18" s="22">
        <f>C18*D18*$B$10</f>
        <v/>
      </c>
      <c r="F18" s="22">
        <f>C18*D18*$B$9</f>
        <v/>
      </c>
    </row>
    <row r="19">
      <c r="A19" s="11" t="inlineStr">
        <is>
          <t>PO</t>
        </is>
      </c>
      <c r="B19" s="12" t="inlineStr">
        <is>
          <t>12 to 14</t>
        </is>
      </c>
      <c r="C19" s="15" t="n">
        <v>1</v>
      </c>
      <c r="D19" s="23">
        <f>INDEX('Rate Card'!$C$5:$C$10,MATCH(A19&amp;"|"&amp;B19,'Rate Card'!$D$5:$D$10,0))</f>
        <v/>
      </c>
      <c r="E19" s="24">
        <f>C19*D19*$B$10</f>
        <v/>
      </c>
      <c r="F19" s="24">
        <f>C19*D19*$B$9</f>
        <v/>
      </c>
    </row>
    <row r="20">
      <c r="A20" s="25" t="inlineStr">
        <is>
          <t>Total team</t>
        </is>
      </c>
      <c r="B20" s="26" t="n"/>
      <c r="C20" s="27">
        <f>SUM(C14:C19)</f>
        <v/>
      </c>
      <c r="D20" s="28" t="inlineStr"/>
      <c r="E20" s="29">
        <f>SUM(E14:E19)</f>
        <v/>
      </c>
      <c r="F20" s="29">
        <f>SUM(F14:F19)</f>
        <v/>
      </c>
    </row>
    <row r="21"/>
    <row r="22" ht="19" customHeight="1">
      <c r="A22" s="3" t="inlineStr">
        <is>
          <t>Project expenses (cost)</t>
        </is>
      </c>
    </row>
    <row r="23">
      <c r="A23" s="6" t="inlineStr">
        <is>
          <t>Category</t>
        </is>
      </c>
      <c r="B23" s="6" t="inlineStr">
        <is>
          <t>Amount</t>
        </is>
      </c>
      <c r="C23" s="6" t="inlineStr">
        <is>
          <t>Frequency</t>
        </is>
      </c>
      <c r="D23" s="6" t="inlineStr">
        <is>
          <t>Yearly Amount</t>
        </is>
      </c>
    </row>
    <row r="24">
      <c r="A24" s="7" t="inlineStr">
        <is>
          <t>Salaries</t>
        </is>
      </c>
      <c r="B24" s="30" t="n">
        <v>24000</v>
      </c>
      <c r="C24" s="31" t="inlineStr">
        <is>
          <t>monthly</t>
        </is>
      </c>
      <c r="D24" s="22">
        <f>IF(C24="monthly",B24*12,B24)</f>
        <v/>
      </c>
    </row>
    <row r="25">
      <c r="A25" s="11" t="inlineStr">
        <is>
          <t>Infrastructure / seats</t>
        </is>
      </c>
      <c r="B25" s="30" t="n">
        <v>2500</v>
      </c>
      <c r="C25" s="31" t="inlineStr">
        <is>
          <t>monthly</t>
        </is>
      </c>
      <c r="D25" s="24">
        <f>IF(C25="monthly",B25*12,B25)</f>
        <v/>
      </c>
    </row>
    <row r="26">
      <c r="A26" s="7" t="inlineStr">
        <is>
          <t>Software licenses</t>
        </is>
      </c>
      <c r="B26" s="30" t="n">
        <v>1200</v>
      </c>
      <c r="C26" s="31" t="inlineStr">
        <is>
          <t>monthly</t>
        </is>
      </c>
      <c r="D26" s="22">
        <f>IF(C26="monthly",B26*12,B26)</f>
        <v/>
      </c>
    </row>
    <row r="27">
      <c r="A27" s="11" t="inlineStr">
        <is>
          <t>Travel</t>
        </is>
      </c>
      <c r="B27" s="30" t="n">
        <v>700</v>
      </c>
      <c r="C27" s="31" t="inlineStr">
        <is>
          <t>monthly</t>
        </is>
      </c>
      <c r="D27" s="24">
        <f>IF(C27="monthly",B27*12,B27)</f>
        <v/>
      </c>
    </row>
    <row r="28">
      <c r="A28" s="7" t="inlineStr">
        <is>
          <t>Training</t>
        </is>
      </c>
      <c r="B28" s="30" t="n">
        <v>6000</v>
      </c>
      <c r="C28" s="31" t="inlineStr">
        <is>
          <t>yearly</t>
        </is>
      </c>
      <c r="D28" s="22">
        <f>IF(C28="monthly",B28*12,B28)</f>
        <v/>
      </c>
    </row>
    <row r="29">
      <c r="A29" s="25" t="inlineStr">
        <is>
          <t>Total yearly expenses</t>
        </is>
      </c>
      <c r="B29" s="32" t="n"/>
      <c r="C29" s="26" t="n"/>
      <c r="D29" s="29">
        <f>SUM(D24:D28)</f>
        <v/>
      </c>
    </row>
    <row r="30">
      <c r="A30" s="25" t="inlineStr">
        <is>
          <t>Total monthly expenses</t>
        </is>
      </c>
      <c r="B30" s="32" t="n"/>
      <c r="C30" s="26" t="n"/>
      <c r="D30" s="29">
        <f>D29/12</f>
        <v/>
      </c>
    </row>
    <row r="31"/>
    <row r="32" ht="19" customHeight="1">
      <c r="A32" s="3" t="inlineStr">
        <is>
          <t>Results</t>
        </is>
      </c>
    </row>
    <row r="33">
      <c r="A33" s="4" t="inlineStr">
        <is>
          <t>Monthly billing (revenue)</t>
        </is>
      </c>
      <c r="B33" s="33">
        <f>E20</f>
        <v/>
      </c>
    </row>
    <row r="34">
      <c r="A34" s="34" t="inlineStr">
        <is>
          <t>Yearly billing (revenue)</t>
        </is>
      </c>
      <c r="B34" s="35">
        <f>F20</f>
        <v/>
      </c>
    </row>
    <row r="35">
      <c r="A35" s="4" t="inlineStr">
        <is>
          <t>Monthly expenses (cost)</t>
        </is>
      </c>
      <c r="B35" s="33">
        <f>D30</f>
        <v/>
      </c>
    </row>
    <row r="36">
      <c r="A36" s="34" t="inlineStr">
        <is>
          <t>Yearly expenses (cost)</t>
        </is>
      </c>
      <c r="B36" s="35">
        <f>D29</f>
        <v/>
      </c>
    </row>
    <row r="37">
      <c r="A37" s="4" t="inlineStr">
        <is>
          <t>Monthly profit</t>
        </is>
      </c>
      <c r="B37" s="33">
        <f>B33-B35</f>
        <v/>
      </c>
    </row>
    <row r="38">
      <c r="A38" s="34" t="inlineStr">
        <is>
          <t>Yearly profit</t>
        </is>
      </c>
      <c r="B38" s="35">
        <f>B34-B36</f>
        <v/>
      </c>
    </row>
    <row r="39">
      <c r="A39" s="36" t="inlineStr">
        <is>
          <t>Profit margin %</t>
        </is>
      </c>
      <c r="B39" s="37">
        <f>B38/B34</f>
        <v/>
      </c>
    </row>
  </sheetData>
  <mergeCells count="9">
    <mergeCell ref="A2:F2"/>
    <mergeCell ref="A20:B20"/>
    <mergeCell ref="A22:D22"/>
    <mergeCell ref="A1:F1"/>
    <mergeCell ref="A32:B32"/>
    <mergeCell ref="A12:F12"/>
    <mergeCell ref="A30:C30"/>
    <mergeCell ref="A29:C29"/>
    <mergeCell ref="A3:B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P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12" customWidth="1" min="5" max="5"/>
    <col width="2" customWidth="1" min="6" max="6"/>
    <col width="11" customWidth="1" min="14" max="14"/>
    <col width="13" customWidth="1" min="15" max="15"/>
    <col width="13" customWidth="1" min="16" max="16"/>
  </cols>
  <sheetData>
    <row r="1" ht="30" customHeight="1">
      <c r="A1" s="1" t="inlineStr">
        <is>
          <t>Outcome-Based Cost Simulation</t>
        </is>
      </c>
    </row>
    <row r="2" ht="18" customHeight="1">
      <c r="A2" s="2" t="inlineStr">
        <is>
          <t>Two capacity cases. YELLOW = inputs. Team &amp; cost inherited from Billing (TNM).</t>
        </is>
      </c>
    </row>
    <row r="3" ht="19" customHeight="1">
      <c r="A3" s="3" t="inlineStr">
        <is>
          <t>Inputs</t>
        </is>
      </c>
    </row>
    <row r="4">
      <c r="A4" s="11" t="inlineStr">
        <is>
          <t>Headcount (from Billing)</t>
        </is>
      </c>
      <c r="B4" s="17">
        <f>'Billing (TNM)'!C20</f>
        <v/>
      </c>
    </row>
    <row r="5">
      <c r="A5" s="14" t="inlineStr">
        <is>
          <t>Per-person SP / sprint  -  Case 1</t>
        </is>
      </c>
      <c r="B5" s="15" t="n">
        <v>7</v>
      </c>
    </row>
    <row r="6">
      <c r="A6" s="14" t="inlineStr">
        <is>
          <t>Per-person SP / sprint  -  Case 2</t>
        </is>
      </c>
      <c r="B6" s="15" t="n">
        <v>8</v>
      </c>
    </row>
    <row r="7">
      <c r="A7" s="14" t="inlineStr">
        <is>
          <t>Capacity reserve %</t>
        </is>
      </c>
      <c r="B7" s="38" t="n">
        <v>0.15</v>
      </c>
    </row>
    <row r="8">
      <c r="A8" s="14" t="inlineStr">
        <is>
          <t>Sprints per month</t>
        </is>
      </c>
      <c r="B8" s="15" t="n">
        <v>2</v>
      </c>
    </row>
    <row r="9">
      <c r="A9" s="14" t="inlineStr">
        <is>
          <t>Minimum invoice SP</t>
        </is>
      </c>
      <c r="B9" s="15" t="n">
        <v>120</v>
      </c>
    </row>
    <row r="10">
      <c r="A10" s="14" t="inlineStr">
        <is>
          <t>Outcome efficiency gain %</t>
        </is>
      </c>
      <c r="B10" s="38" t="n">
        <v>0.1</v>
      </c>
    </row>
    <row r="11">
      <c r="A11" s="14" t="inlineStr">
        <is>
          <t>Client discount %</t>
        </is>
      </c>
      <c r="B11" s="38" t="n">
        <v>0.05</v>
      </c>
    </row>
    <row r="12">
      <c r="A12" s="11" t="inlineStr">
        <is>
          <t>TNM monthly billing (R)</t>
        </is>
      </c>
      <c r="B12" s="39">
        <f>'Billing (TNM)'!$B$33</f>
        <v/>
      </c>
    </row>
    <row r="13">
      <c r="A13" s="11" t="inlineStr">
        <is>
          <t>Monthly cost (C)</t>
        </is>
      </c>
      <c r="B13" s="39">
        <f>'Billing (TNM)'!$B$35</f>
        <v/>
      </c>
    </row>
    <row r="14"/>
    <row r="15" ht="19" customHeight="1">
      <c r="A15" s="3" t="inlineStr">
        <is>
          <t>Case 1 vs Case 2  -  step-by-step</t>
        </is>
      </c>
    </row>
    <row r="16">
      <c r="A16" s="6" t="inlineStr">
        <is>
          <t>Metric</t>
        </is>
      </c>
      <c r="B16" s="6" t="inlineStr">
        <is>
          <t>Case 1</t>
        </is>
      </c>
      <c r="C16" s="6" t="inlineStr">
        <is>
          <t>Case 2</t>
        </is>
      </c>
      <c r="N16" s="16" t="inlineStr">
        <is>
          <t>Client pays</t>
        </is>
      </c>
      <c r="O16" s="16" t="inlineStr">
        <is>
          <t>TNM</t>
        </is>
      </c>
      <c r="P16" s="16" t="inlineStr">
        <is>
          <t>Outcome</t>
        </is>
      </c>
    </row>
    <row r="17">
      <c r="A17" s="7" t="inlineStr">
        <is>
          <t>Per-person SP / sprint</t>
        </is>
      </c>
      <c r="B17" s="40">
        <f>$B$5</f>
        <v/>
      </c>
      <c r="C17" s="40">
        <f>$B$6</f>
        <v/>
      </c>
      <c r="N17" s="18" t="inlineStr">
        <is>
          <t>Case 1</t>
        </is>
      </c>
      <c r="O17" s="19">
        <f>$B$12</f>
        <v/>
      </c>
      <c r="P17" s="19">
        <f>B24</f>
        <v/>
      </c>
    </row>
    <row r="18">
      <c r="A18" s="11" t="inlineStr">
        <is>
          <t>Gross team velocity / sprint</t>
        </is>
      </c>
      <c r="B18" s="41">
        <f>B17*$B$4</f>
        <v/>
      </c>
      <c r="C18" s="41">
        <f>C17*$B$4</f>
        <v/>
      </c>
      <c r="N18" s="18" t="inlineStr">
        <is>
          <t>Case 2</t>
        </is>
      </c>
      <c r="O18" s="19">
        <f>$B$12</f>
        <v/>
      </c>
      <c r="P18" s="19">
        <f>C24</f>
        <v/>
      </c>
    </row>
    <row r="19">
      <c r="A19" s="7" t="inlineStr">
        <is>
          <t>Effective velocity (after reserve)</t>
        </is>
      </c>
      <c r="B19" s="42">
        <f>B18*(1-$B$7)</f>
        <v/>
      </c>
      <c r="C19" s="42">
        <f>C18*(1-$B$7)</f>
        <v/>
      </c>
    </row>
    <row r="20">
      <c r="A20" s="11" t="inlineStr">
        <is>
          <t>Deliverable SP / month</t>
        </is>
      </c>
      <c r="B20" s="43">
        <f>B19*$B$8</f>
        <v/>
      </c>
      <c r="C20" s="43">
        <f>C19*$B$8</f>
        <v/>
      </c>
      <c r="N20" s="16" t="inlineStr">
        <is>
          <t>Opus margin</t>
        </is>
      </c>
      <c r="O20" s="16" t="inlineStr">
        <is>
          <t>TNM</t>
        </is>
      </c>
      <c r="P20" s="16" t="inlineStr">
        <is>
          <t>Outcome</t>
        </is>
      </c>
    </row>
    <row r="21">
      <c r="A21" s="7" t="inlineStr">
        <is>
          <t>Meets min invoice?</t>
        </is>
      </c>
      <c r="B21" s="8">
        <f>IF(B20&gt;=$B$9,"Yes","No (short "&amp;TEXT($B$9-B20,"0")&amp;")")</f>
        <v/>
      </c>
      <c r="C21" s="8">
        <f>IF(C20&gt;=$B$9,"Yes","No (short "&amp;TEXT($B$9-C20,"0")&amp;")")</f>
        <v/>
      </c>
      <c r="N21" s="18" t="inlineStr">
        <is>
          <t>Case 1</t>
        </is>
      </c>
      <c r="O21" s="44">
        <f>B27</f>
        <v/>
      </c>
      <c r="P21" s="44">
        <f>B28</f>
        <v/>
      </c>
    </row>
    <row r="22">
      <c r="A22" s="11" t="inlineStr">
        <is>
          <t>Break-even price / SP</t>
        </is>
      </c>
      <c r="B22" s="23">
        <f>$B$12/B20</f>
        <v/>
      </c>
      <c r="C22" s="23">
        <f>$B$12/C20</f>
        <v/>
      </c>
      <c r="N22" s="18" t="inlineStr">
        <is>
          <t>Case 2</t>
        </is>
      </c>
      <c r="O22" s="44">
        <f>C27</f>
        <v/>
      </c>
      <c r="P22" s="44">
        <f>C28</f>
        <v/>
      </c>
    </row>
    <row r="23">
      <c r="A23" s="36" t="inlineStr">
        <is>
          <t>Recommended price / SP</t>
        </is>
      </c>
      <c r="B23" s="45">
        <f>B22*(1-$B$11)</f>
        <v/>
      </c>
      <c r="C23" s="45">
        <f>C22*(1-$B$11)</f>
        <v/>
      </c>
    </row>
    <row r="24">
      <c r="A24" s="36" t="inlineStr">
        <is>
          <t>Monthly outcome bill</t>
        </is>
      </c>
      <c r="B24" s="46">
        <f>B23*B20</f>
        <v/>
      </c>
      <c r="C24" s="46">
        <f>C23*C20</f>
        <v/>
      </c>
      <c r="N24" s="16" t="inlineStr">
        <is>
          <t>Price/SP</t>
        </is>
      </c>
      <c r="O24" s="16" t="inlineStr">
        <is>
          <t>Break-even</t>
        </is>
      </c>
      <c r="P24" s="16" t="inlineStr">
        <is>
          <t>Recommended</t>
        </is>
      </c>
    </row>
    <row r="25">
      <c r="A25" s="7" t="inlineStr">
        <is>
          <t>Yearly outcome bill</t>
        </is>
      </c>
      <c r="B25" s="47">
        <f>B24*12</f>
        <v/>
      </c>
      <c r="C25" s="47">
        <f>C24*12</f>
        <v/>
      </c>
      <c r="N25" s="18" t="inlineStr">
        <is>
          <t>Case 1</t>
        </is>
      </c>
      <c r="O25" s="48">
        <f>B22</f>
        <v/>
      </c>
      <c r="P25" s="48">
        <f>B23</f>
        <v/>
      </c>
    </row>
    <row r="26">
      <c r="A26" s="11" t="inlineStr">
        <is>
          <t>Outcome cost / month</t>
        </is>
      </c>
      <c r="B26" s="49">
        <f>$B$13/(1+$B$10)</f>
        <v/>
      </c>
      <c r="C26" s="49">
        <f>$B$13/(1+$B$10)</f>
        <v/>
      </c>
      <c r="N26" s="18" t="inlineStr">
        <is>
          <t>Case 2</t>
        </is>
      </c>
      <c r="O26" s="48">
        <f>C22</f>
        <v/>
      </c>
      <c r="P26" s="48">
        <f>C23</f>
        <v/>
      </c>
    </row>
    <row r="27">
      <c r="A27" s="7" t="inlineStr">
        <is>
          <t>Opus margin  -  TNM</t>
        </is>
      </c>
      <c r="B27" s="50">
        <f>($B$12-$B$13)/$B$12</f>
        <v/>
      </c>
      <c r="C27" s="50">
        <f>($B$12-$B$13)/$B$12</f>
        <v/>
      </c>
    </row>
    <row r="28">
      <c r="A28" s="36" t="inlineStr">
        <is>
          <t>Opus margin  -  Outcome</t>
        </is>
      </c>
      <c r="B28" s="51">
        <f>(B24-B26)/B24</f>
        <v/>
      </c>
      <c r="C28" s="51">
        <f>(C24-C26)/C24</f>
        <v/>
      </c>
    </row>
    <row r="29">
      <c r="A29" s="7" t="inlineStr">
        <is>
          <t>Margin uplift (pts)</t>
        </is>
      </c>
      <c r="B29" s="50">
        <f>B28-B27</f>
        <v/>
      </c>
      <c r="C29" s="50">
        <f>C28-C27</f>
        <v/>
      </c>
    </row>
    <row r="30">
      <c r="A30" s="11" t="inlineStr">
        <is>
          <t>Opus profit  -  TNM / month</t>
        </is>
      </c>
      <c r="B30" s="49">
        <f>$B$12-$B$13</f>
        <v/>
      </c>
      <c r="C30" s="49">
        <f>$B$12-$B$13</f>
        <v/>
      </c>
    </row>
    <row r="31">
      <c r="A31" s="7" t="inlineStr">
        <is>
          <t>Opus profit  -  Outcome / month</t>
        </is>
      </c>
      <c r="B31" s="47">
        <f>B24-B26</f>
        <v/>
      </c>
      <c r="C31" s="47">
        <f>C24-C26</f>
        <v/>
      </c>
    </row>
    <row r="32">
      <c r="A32" s="36" t="inlineStr">
        <is>
          <t>Opus extra profit / year</t>
        </is>
      </c>
      <c r="B32" s="46">
        <f>(B31-B30)*12</f>
        <v/>
      </c>
      <c r="C32" s="46">
        <f>(C31-C30)*12</f>
        <v/>
      </c>
    </row>
    <row r="33">
      <c r="A33" s="7" t="inlineStr">
        <is>
          <t>Client saving / month</t>
        </is>
      </c>
      <c r="B33" s="47">
        <f>$B$12-B24</f>
        <v/>
      </c>
      <c r="C33" s="47">
        <f>$B$12-C24</f>
        <v/>
      </c>
    </row>
    <row r="34">
      <c r="A34" s="36" t="inlineStr">
        <is>
          <t>Client saving / year</t>
        </is>
      </c>
      <c r="B34" s="46">
        <f>B33*12</f>
        <v/>
      </c>
      <c r="C34" s="46">
        <f>C33*12</f>
        <v/>
      </c>
    </row>
    <row r="35">
      <c r="A35" s="36" t="inlineStr">
        <is>
          <t>WIN-WIN?</t>
        </is>
      </c>
      <c r="B35" s="52">
        <f>IF(AND(B24&lt;$B$12,(B24-B26)&gt;=($B$12-$B$13)),"YES - WIN-WIN","Not yet")</f>
        <v/>
      </c>
      <c r="C35" s="52">
        <f>IF(AND(C24&lt;$B$12,(C24-C26)&gt;=($B$12-$B$13)),"YES - WIN-WIN","Not yet")</f>
        <v/>
      </c>
    </row>
  </sheetData>
  <mergeCells count="4">
    <mergeCell ref="A1:C1"/>
    <mergeCell ref="A3:B3"/>
    <mergeCell ref="A2:C2"/>
    <mergeCell ref="A15:C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" customWidth="1" min="3" max="3"/>
    <col width="24" customWidth="1" min="4" max="4"/>
    <col width="20" customWidth="1" min="5" max="5"/>
  </cols>
  <sheetData>
    <row r="1" ht="30" customHeight="1">
      <c r="A1" s="1" t="inlineStr">
        <is>
          <t>Dashboard  -  TNM vs Outcome (Case 2, feasible)</t>
        </is>
      </c>
    </row>
    <row r="2" ht="18" customHeight="1">
      <c r="A2" s="2" t="inlineStr">
        <is>
          <t>Headline verdict for the 8 SP/person case.</t>
        </is>
      </c>
    </row>
    <row r="3"/>
    <row r="4" ht="19" customHeight="1">
      <c r="A4" s="3" t="inlineStr">
        <is>
          <t>Key numbers</t>
        </is>
      </c>
      <c r="D4" s="16" t="inlineStr">
        <is>
          <t>Who benefits (annual $)</t>
        </is>
      </c>
    </row>
    <row r="5">
      <c r="A5" s="34" t="inlineStr">
        <is>
          <t>TNM monthly billing</t>
        </is>
      </c>
      <c r="B5" s="53">
        <f>'Outcome'!$B$12</f>
        <v/>
      </c>
      <c r="D5" s="18" t="inlineStr">
        <is>
          <t>Client saving</t>
        </is>
      </c>
      <c r="E5" s="19">
        <f>'Outcome'!C34</f>
        <v/>
      </c>
    </row>
    <row r="6">
      <c r="A6" s="4" t="inlineStr">
        <is>
          <t>TNM yearly billing</t>
        </is>
      </c>
      <c r="B6" s="54">
        <f>'Outcome'!$B$12*12</f>
        <v/>
      </c>
      <c r="D6" s="18" t="inlineStr">
        <is>
          <t>Opus extra profit</t>
        </is>
      </c>
      <c r="E6" s="19">
        <f>'Outcome'!C32</f>
        <v/>
      </c>
    </row>
    <row r="7">
      <c r="A7" s="34" t="inlineStr">
        <is>
          <t>TNM margin</t>
        </is>
      </c>
      <c r="B7" s="55">
        <f>'Outcome'!C27</f>
        <v/>
      </c>
    </row>
    <row r="8">
      <c r="A8" s="4" t="inlineStr">
        <is>
          <t>Outcome monthly bill</t>
        </is>
      </c>
      <c r="B8" s="54">
        <f>'Outcome'!C24</f>
        <v/>
      </c>
    </row>
    <row r="9">
      <c r="A9" s="36" t="inlineStr">
        <is>
          <t>Outcome margin</t>
        </is>
      </c>
      <c r="B9" s="56">
        <f>'Outcome'!C28</f>
        <v/>
      </c>
    </row>
    <row r="10">
      <c r="A10" s="36" t="inlineStr">
        <is>
          <t>Opus extra profit / year</t>
        </is>
      </c>
      <c r="B10" s="57">
        <f>'Outcome'!C32</f>
        <v/>
      </c>
    </row>
    <row r="11">
      <c r="A11" s="36" t="inlineStr">
        <is>
          <t>Client saving / year</t>
        </is>
      </c>
      <c r="B11" s="57">
        <f>'Outcome'!C34</f>
        <v/>
      </c>
    </row>
    <row r="12"/>
    <row r="13" ht="24" customHeight="1">
      <c r="A13" s="58">
        <f>'Outcome'!C35</f>
        <v/>
      </c>
    </row>
    <row r="14" ht="24" customHeight="1"/>
    <row r="15"/>
    <row r="16" ht="54" customHeight="1">
      <c r="A16" s="59" t="inlineStr">
        <is>
          <t>Both parties end up better off: the client pays less than TNM while Opus earns more - because Outcome lets Opus keep the efficiency gain that TNM would have handed back as fewer billed hours.</t>
        </is>
      </c>
    </row>
    <row r="17"/>
    <row r="18"/>
  </sheetData>
  <mergeCells count="5">
    <mergeCell ref="A4:B4"/>
    <mergeCell ref="A13:B14"/>
    <mergeCell ref="A2:E2"/>
    <mergeCell ref="A1:E1"/>
    <mergeCell ref="A16:E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2026-06-21T20:54:46Z</dcterms:created>
  <dcterms:modified xmlns:dcterms="http://purl.org/dc/terms/" xmlns:xsi="http://www.w3.org/2001/XMLSchema-instance" xsi:type="dcterms:W3CDTF">2026-06-21T20:54:46Z</dcterms:modified>
</cp:coreProperties>
</file>