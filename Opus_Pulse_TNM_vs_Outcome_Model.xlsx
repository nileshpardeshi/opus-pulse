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Billing (TNM)" sheetId="3" state="visible" r:id="rId3"/>
    <sheet xmlns:r="http://schemas.openxmlformats.org/officeDocument/2006/relationships" name="Outcome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&quot;$&quot;#,##0"/>
    <numFmt numFmtId="167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4315A"/>
      <sz val="11"/>
    </font>
    <font>
      <name val="Calibri"/>
      <color rgb="00222B38"/>
      <sz val="11"/>
    </font>
    <font>
      <name val="Calibri"/>
      <b val="1"/>
      <color rgb="006B7480"/>
      <sz val="10"/>
    </font>
    <font>
      <name val="Calibri"/>
      <i val="1"/>
      <color rgb="006B7480"/>
      <sz val="10"/>
    </font>
    <font>
      <name val="Calibri"/>
      <b val="1"/>
      <color rgb="00222B38"/>
      <sz val="11"/>
    </font>
    <font>
      <name val="Calibri"/>
      <color rgb="006B7480"/>
      <sz val="9"/>
    </font>
    <font>
      <name val="Calibri"/>
      <b val="1"/>
      <color rgb="002E7D32"/>
      <sz val="14"/>
    </font>
    <font>
      <name val="Calibri"/>
      <b val="1"/>
      <color rgb="0014315A"/>
      <sz val="10"/>
    </font>
    <font>
      <name val="Calibri"/>
      <b val="1"/>
      <color rgb="002E7D32"/>
      <sz val="11"/>
    </font>
    <font>
      <name val="Calibri"/>
      <b val="1"/>
      <color rgb="00222B38"/>
      <sz val="12"/>
    </font>
    <font>
      <name val="Calibri"/>
      <i val="1"/>
      <color rgb="0014315A"/>
      <sz val="11"/>
    </font>
  </fonts>
  <fills count="10">
    <fill>
      <patternFill/>
    </fill>
    <fill>
      <patternFill patternType="gray125"/>
    </fill>
    <fill>
      <patternFill patternType="solid">
        <fgColor rgb="0014315A"/>
      </patternFill>
    </fill>
    <fill>
      <patternFill patternType="solid">
        <fgColor rgb="002F6FB0"/>
      </patternFill>
    </fill>
    <fill>
      <patternFill patternType="solid">
        <fgColor rgb="00F7F9FC"/>
      </patternFill>
    </fill>
    <fill>
      <patternFill patternType="solid">
        <fgColor rgb="00FFF4C2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E7F1E8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5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8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3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vertical="center"/>
    </xf>
    <xf numFmtId="3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6" fontId="8" fillId="6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7" fontId="10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7" fontId="8" fillId="5" borderId="1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7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6" fontId="13" fillId="6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center" vertical="center"/>
    </xf>
    <xf numFmtId="167" fontId="13" fillId="6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0" fillId="9" borderId="0" pivotButton="0" quotePrefix="0" xfId="0"/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color rgb="009C2B2B"/>
      </font>
      <fill>
        <patternFill patternType="solid">
          <fgColor rgb="00FAE3E3"/>
        </patternFill>
      </fill>
    </dxf>
    <dxf>
      <font>
        <b val="1"/>
        <color rgb="002E7D32"/>
      </font>
      <fill>
        <patternFill patternType="solid">
          <fgColor rgb="00E7F1E8"/>
        </patternFill>
      </fill>
    </dxf>
    <dxf>
      <font>
        <b val="1"/>
        <color rgb="009C2B2B"/>
      </font>
      <fill>
        <patternFill patternType="solid">
          <fgColor rgb="00FAE3E3"/>
        </patternFill>
      </fill>
    </dxf>
    <dxf>
      <font>
        <b val="1"/>
        <color rgb="00C8860D"/>
      </font>
      <fill>
        <patternFill patternType="solid">
          <fgColor rgb="00FBF1DD"/>
        </patternFill>
      </fill>
    </dxf>
    <dxf>
      <font>
        <b val="1"/>
        <color rgb="00FFFFFF"/>
        <sz val="16"/>
      </font>
      <fill>
        <patternFill patternType="solid">
          <fgColor rgb="002E7D32"/>
        </patternFill>
      </fill>
    </dxf>
    <dxf>
      <font>
        <b val="1"/>
        <color rgb="00FFFFFF"/>
        <sz val="16"/>
      </font>
      <fill>
        <patternFill patternType="solid">
          <fgColor rgb="00C8860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Monthly: Revenue / Expenses /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'Billing (TNM)'!I4</f>
            </strRef>
          </tx>
          <spPr>
            <a:solidFill xmlns:a="http://schemas.openxmlformats.org/drawingml/2006/main">
              <a:srgbClr val="2F6FB0"/>
            </a:solidFill>
            <a:ln xmlns:a="http://schemas.openxmlformats.org/drawingml/2006/main">
              <a:prstDash val="solid"/>
            </a:ln>
          </spPr>
          <cat>
            <numRef>
              <f>'Billing (TNM)'!$H$5:$H$7</f>
            </numRef>
          </cat>
          <val>
            <numRef>
              <f>'Billing (TNM)'!$I$5:$I$7</f>
            </numRef>
          </val>
        </ser>
        <dLbls>
          <numFmt formatCode="&quot;$&quot;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breakdown (yearly)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6FB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4315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8860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AA2C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B7480"/>
              </a:solidFill>
              <a:ln xmlns:a="http://schemas.openxmlformats.org/drawingml/2006/main">
                <a:prstDash val="solid"/>
              </a:ln>
            </spPr>
          </dPt>
          <cat>
            <numRef>
              <f>'Billing (TNM)'!$A$25:$A$29</f>
            </numRef>
          </cat>
          <val>
            <numRef>
              <f>'Billing (TNM)'!$D$25:$D$29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 pays: TNM vs Outcome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'Outcome'!O5</f>
            </strRef>
          </tx>
          <spPr>
            <a:solidFill xmlns:a="http://schemas.openxmlformats.org/drawingml/2006/main">
              <a:srgbClr val="6B7480"/>
            </a:solidFill>
            <a:ln xmlns:a="http://schemas.openxmlformats.org/drawingml/2006/main">
              <a:prstDash val="solid"/>
            </a:ln>
          </spPr>
          <cat>
            <numRef>
              <f>'Outcome'!$N$6:$N$7</f>
            </numRef>
          </cat>
          <val>
            <numRef>
              <f>'Outcome'!$O$6:$O$7</f>
            </numRef>
          </val>
        </ser>
        <ser>
          <idx val="1"/>
          <order val="1"/>
          <tx>
            <strRef>
              <f>'Outcome'!P5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'Outcome'!$N$6:$N$7</f>
            </numRef>
          </cat>
          <val>
            <numRef>
              <f>'Outcome'!$P$6:$P$7</f>
            </numRef>
          </val>
        </ser>
        <dLbls>
          <numFmt formatCode="&quot;$&quot;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Opus margin %: TNM vs Outcome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'Outcome'!O9</f>
            </strRef>
          </tx>
          <spPr>
            <a:solidFill xmlns:a="http://schemas.openxmlformats.org/drawingml/2006/main">
              <a:srgbClr val="6B7480"/>
            </a:solidFill>
            <a:ln xmlns:a="http://schemas.openxmlformats.org/drawingml/2006/main">
              <a:prstDash val="solid"/>
            </a:ln>
          </spPr>
          <cat>
            <numRef>
              <f>'Outcome'!$N$10:$N$11</f>
            </numRef>
          </cat>
          <val>
            <numRef>
              <f>'Outcome'!$O$10:$O$11</f>
            </numRef>
          </val>
        </ser>
        <ser>
          <idx val="1"/>
          <order val="1"/>
          <tx>
            <strRef>
              <f>'Outcome'!P9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'Outcome'!$N$10:$N$11</f>
            </numRef>
          </cat>
          <val>
            <numRef>
              <f>'Outcome'!$P$10:$P$11</f>
            </numRef>
          </val>
        </ser>
        <dLbls>
          <numFmt formatCode="0.0%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per story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'Outcome'!O13</f>
            </strRef>
          </tx>
          <spPr>
            <a:solidFill xmlns:a="http://schemas.openxmlformats.org/drawingml/2006/main">
              <a:srgbClr val="6B7480"/>
            </a:solidFill>
            <a:ln xmlns:a="http://schemas.openxmlformats.org/drawingml/2006/main">
              <a:prstDash val="solid"/>
            </a:ln>
          </spPr>
          <cat>
            <numRef>
              <f>'Outcome'!$N$14:$N$15</f>
            </numRef>
          </cat>
          <val>
            <numRef>
              <f>'Outcome'!$O$14:$O$15</f>
            </numRef>
          </val>
        </ser>
        <ser>
          <idx val="1"/>
          <order val="1"/>
          <tx>
            <strRef>
              <f>'Outcome'!P13</f>
            </strRef>
          </tx>
          <spPr>
            <a:solidFill xmlns:a="http://schemas.openxmlformats.org/drawingml/2006/main">
              <a:srgbClr val="2F6FB0"/>
            </a:solidFill>
            <a:ln xmlns:a="http://schemas.openxmlformats.org/drawingml/2006/main">
              <a:prstDash val="solid"/>
            </a:ln>
          </spPr>
          <cat>
            <numRef>
              <f>'Outcome'!$N$14:$N$15</f>
            </numRef>
          </cat>
          <val>
            <numRef>
              <f>'Outcome'!$P$14:$P$15</f>
            </numRef>
          </val>
        </ser>
        <dLbls>
          <numFmt formatCode="&quot;$&quot;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Who benefits (annual 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F6FB0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6FB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'Dashboard'!$D$5:$D$6</f>
            </numRef>
          </cat>
          <val>
            <numRef>
              <f>'Dashboard'!$E$5:$E$6</f>
            </numRef>
          </val>
        </ser>
        <dLbls>
          <numFmt formatCode="&quot;$&quot;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4</row>
      <rowOff>0</rowOff>
    </from>
    <ext cx="3780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780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3780000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7</row>
      <rowOff>0</rowOff>
    </from>
    <ext cx="41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4315A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8" customWidth="1" min="3" max="3"/>
  </cols>
  <sheetData>
    <row r="1" ht="26" customHeight="1">
      <c r="A1" s="1" t="inlineStr">
        <is>
          <t>Opus Pulse - TNM to Outcome Conversion Simulator</t>
        </is>
      </c>
      <c r="B1" s="2" t="n"/>
      <c r="C1" s="2" t="n"/>
    </row>
    <row r="2" ht="16" customHeight="1">
      <c r="A2" s="3" t="inlineStr">
        <is>
          <t>A live model. Change any YELLOW input and every result, table and chart recalculates instantly.</t>
        </is>
      </c>
      <c r="B2" s="2" t="n"/>
      <c r="C2" s="2" t="n"/>
    </row>
    <row r="3"/>
    <row r="4" ht="18" customHeight="1">
      <c r="A4" s="4" t="inlineStr">
        <is>
          <t>How to use</t>
        </is>
      </c>
      <c r="B4" s="5" t="n"/>
      <c r="C4" s="5" t="n"/>
    </row>
    <row r="5" ht="30" customHeight="1">
      <c r="B5" s="6" t="inlineStr">
        <is>
          <t>Yellow cells</t>
        </is>
      </c>
      <c r="C5" s="7" t="inlineStr">
        <is>
          <t>are the only inputs you edit - team, rates, calendar, expenses, capacity, efficiency and discount.</t>
        </is>
      </c>
    </row>
    <row r="6" ht="22" customHeight="1">
      <c r="B6" s="6" t="inlineStr">
        <is>
          <t>Everything else</t>
        </is>
      </c>
      <c r="C6" s="7" t="inlineStr">
        <is>
          <t>is a live, IFERROR-guarded formula - no #DIV/0! or #N/A, even mid-edit.</t>
        </is>
      </c>
    </row>
    <row r="7" ht="22" customHeight="1">
      <c r="B7" s="6" t="inlineStr">
        <is>
          <t>Charts</t>
        </is>
      </c>
      <c r="C7" s="7" t="inlineStr">
        <is>
          <t>read from the formula cells, so they redraw automatically.</t>
        </is>
      </c>
    </row>
    <row r="8" ht="18" customHeight="1">
      <c r="A8" s="4" t="inlineStr">
        <is>
          <t>The tabs</t>
        </is>
      </c>
      <c r="B8" s="5" t="n"/>
      <c r="C8" s="5" t="n"/>
    </row>
    <row r="9" ht="22" customHeight="1">
      <c r="B9" s="6" t="inlineStr">
        <is>
          <t>Rate Card</t>
        </is>
      </c>
      <c r="C9" s="7" t="inlineStr">
        <is>
          <t>Standard billing rate per role and experience. Billing looks rates up from here.</t>
        </is>
      </c>
    </row>
    <row r="10" ht="22" customHeight="1">
      <c r="B10" s="6" t="inlineStr">
        <is>
          <t>Billing (TNM)</t>
        </is>
      </c>
      <c r="C10" s="7" t="inlineStr">
        <is>
          <t>Time &amp; Material: team + calendar + expenses -&gt; monthly &amp; yearly billing, profit and margin.</t>
        </is>
      </c>
    </row>
    <row r="11" ht="22" customHeight="1">
      <c r="B11" s="6" t="inlineStr">
        <is>
          <t>Outcome</t>
        </is>
      </c>
      <c r="C11" s="7" t="inlineStr">
        <is>
          <t>Outcome conversion: two capacity cases, price per story point, and the client win-win.</t>
        </is>
      </c>
    </row>
    <row r="12" ht="22" customHeight="1">
      <c r="B12" s="6" t="inlineStr">
        <is>
          <t>Dashboard</t>
        </is>
      </c>
      <c r="C12" s="7" t="inlineStr">
        <is>
          <t>One-screen verdict: TNM vs Outcome and who benefits.</t>
        </is>
      </c>
    </row>
    <row r="13" ht="18" customHeight="1">
      <c r="A13" s="4" t="inlineStr">
        <is>
          <t>Key formulas</t>
        </is>
      </c>
      <c r="B13" s="5" t="n"/>
      <c r="C13" s="5" t="n"/>
    </row>
    <row r="14" ht="22" customHeight="1">
      <c r="B14" s="6" t="inlineStr">
        <is>
          <t>Billable days/yr</t>
        </is>
      </c>
      <c r="C14" s="7" t="inlineStr">
        <is>
          <t>365 - 104 weekends - holidays - leaves</t>
        </is>
      </c>
    </row>
    <row r="15" ht="22" customHeight="1">
      <c r="B15" s="6" t="inlineStr">
        <is>
          <t>Monthly billing</t>
        </is>
      </c>
      <c r="C15" s="7" t="inlineStr">
        <is>
          <t>sum of (count x rate) x billable hours per month</t>
        </is>
      </c>
    </row>
    <row r="16" ht="22" customHeight="1">
      <c r="B16" s="6" t="inlineStr">
        <is>
          <t>Break-even price/SP</t>
        </is>
      </c>
      <c r="C16" s="7" t="inlineStr">
        <is>
          <t>TNM monthly billing / deliverable SP per month</t>
        </is>
      </c>
    </row>
    <row r="17" ht="22" customHeight="1">
      <c r="B17" s="6" t="inlineStr">
        <is>
          <t>Recommended price/SP</t>
        </is>
      </c>
      <c r="C17" s="7" t="inlineStr">
        <is>
          <t>break-even x (1 - client discount %)</t>
        </is>
      </c>
    </row>
    <row r="18" ht="22" customHeight="1">
      <c r="B18" s="6" t="inlineStr">
        <is>
          <t>Outcome cost/month</t>
        </is>
      </c>
      <c r="C18" s="7" t="inlineStr">
        <is>
          <t>TNM monthly cost / (1 + efficiency gain %)</t>
        </is>
      </c>
    </row>
    <row r="19" ht="22" customHeight="1">
      <c r="B19" s="6" t="inlineStr">
        <is>
          <t>Win-win test</t>
        </is>
      </c>
      <c r="C19" s="7" t="inlineStr">
        <is>
          <t>client pays less than TNM AND Opus profit is not lower</t>
        </is>
      </c>
    </row>
    <row r="20"/>
    <row r="21">
      <c r="B21" s="8" t="inlineStr">
        <is>
          <t>Legend:</t>
        </is>
      </c>
      <c r="C21" s="9" t="inlineStr">
        <is>
          <t>yellow = input    |    white/blue = formula (do not edit)</t>
        </is>
      </c>
    </row>
  </sheetData>
  <mergeCells count="5">
    <mergeCell ref="A13:C13"/>
    <mergeCell ref="A1:C1"/>
    <mergeCell ref="A8:C8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6FB0"/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" customWidth="1" min="4" max="4"/>
    <col width="2" customWidth="1" min="5" max="5"/>
    <col hidden="1" width="22" customWidth="1" min="6" max="6"/>
  </cols>
  <sheetData>
    <row r="1" ht="26" customHeight="1">
      <c r="A1" s="1" t="inlineStr">
        <is>
          <t>Account Rate Card  -  Apex Bank</t>
        </is>
      </c>
      <c r="B1" s="2" t="n"/>
      <c r="C1" s="2" t="n"/>
    </row>
    <row r="2" ht="16" customHeight="1">
      <c r="A2" s="3" t="inlineStr">
        <is>
          <t>Standard billing rate by role and experience. YELLOW = editable.</t>
        </is>
      </c>
      <c r="B2" s="2" t="n"/>
      <c r="C2" s="2" t="n"/>
    </row>
    <row r="3"/>
    <row r="4">
      <c r="A4" s="10" t="inlineStr">
        <is>
          <t>Role</t>
        </is>
      </c>
      <c r="B4" s="11" t="inlineStr">
        <is>
          <t>Experience (yrs)</t>
        </is>
      </c>
      <c r="C4" s="11" t="inlineStr">
        <is>
          <t>Billing Rate/hr</t>
        </is>
      </c>
    </row>
    <row r="5">
      <c r="A5" s="12" t="inlineStr">
        <is>
          <t>Sr Dev</t>
        </is>
      </c>
      <c r="B5" s="13" t="inlineStr">
        <is>
          <t>5 to 8</t>
        </is>
      </c>
      <c r="C5" s="14" t="n">
        <v>28</v>
      </c>
      <c r="F5" s="15">
        <f>A5&amp;"|"&amp;B5</f>
        <v/>
      </c>
    </row>
    <row r="6">
      <c r="A6" s="16" t="inlineStr">
        <is>
          <t>Sr Dev</t>
        </is>
      </c>
      <c r="B6" s="17" t="inlineStr">
        <is>
          <t>8 to 10</t>
        </is>
      </c>
      <c r="C6" s="14" t="n">
        <v>30</v>
      </c>
      <c r="F6" s="15">
        <f>A6&amp;"|"&amp;B6</f>
        <v/>
      </c>
    </row>
    <row r="7">
      <c r="A7" s="12" t="inlineStr">
        <is>
          <t>Tech Lead (Dev)</t>
        </is>
      </c>
      <c r="B7" s="13" t="inlineStr">
        <is>
          <t>9 to 12</t>
        </is>
      </c>
      <c r="C7" s="14" t="n">
        <v>35</v>
      </c>
      <c r="F7" s="15">
        <f>A7&amp;"|"&amp;B7</f>
        <v/>
      </c>
    </row>
    <row r="8">
      <c r="A8" s="16" t="inlineStr">
        <is>
          <t>Sr QA</t>
        </is>
      </c>
      <c r="B8" s="17" t="inlineStr">
        <is>
          <t>5 to 8</t>
        </is>
      </c>
      <c r="C8" s="14" t="n">
        <v>28</v>
      </c>
      <c r="F8" s="15">
        <f>A8&amp;"|"&amp;B8</f>
        <v/>
      </c>
    </row>
    <row r="9">
      <c r="A9" s="12" t="inlineStr">
        <is>
          <t>Lead QA</t>
        </is>
      </c>
      <c r="B9" s="13" t="inlineStr">
        <is>
          <t>9 to 12</t>
        </is>
      </c>
      <c r="C9" s="14" t="n">
        <v>35</v>
      </c>
      <c r="F9" s="15">
        <f>A9&amp;"|"&amp;B9</f>
        <v/>
      </c>
    </row>
    <row r="10">
      <c r="A10" s="16" t="inlineStr">
        <is>
          <t>PO</t>
        </is>
      </c>
      <c r="B10" s="17" t="inlineStr">
        <is>
          <t>12 to 14</t>
        </is>
      </c>
      <c r="C10" s="14" t="n">
        <v>37</v>
      </c>
      <c r="F10" s="15">
        <f>A10&amp;"|"&amp;B10</f>
        <v/>
      </c>
    </row>
    <row r="11">
      <c r="A11" s="12" t="inlineStr">
        <is>
          <t>Developer</t>
        </is>
      </c>
      <c r="B11" s="13" t="inlineStr">
        <is>
          <t>3 to 5</t>
        </is>
      </c>
      <c r="C11" s="14" t="n">
        <v>22</v>
      </c>
      <c r="F11" s="15">
        <f>A11&amp;"|"&amp;B11</f>
        <v/>
      </c>
    </row>
    <row r="12">
      <c r="A12" s="16" t="inlineStr">
        <is>
          <t>QA Engineer</t>
        </is>
      </c>
      <c r="B12" s="17" t="inlineStr">
        <is>
          <t>3 to 5</t>
        </is>
      </c>
      <c r="C12" s="14" t="n">
        <v>20</v>
      </c>
      <c r="F12" s="15">
        <f>A12&amp;"|"&amp;B12</f>
        <v/>
      </c>
    </row>
    <row r="13">
      <c r="A13" s="12" t="inlineStr">
        <is>
          <t>Architect</t>
        </is>
      </c>
      <c r="B13" s="13" t="inlineStr">
        <is>
          <t>12 to 14</t>
        </is>
      </c>
      <c r="C13" s="14" t="n">
        <v>45</v>
      </c>
      <c r="F13" s="15">
        <f>A13&amp;"|"&amp;B13</f>
        <v/>
      </c>
    </row>
    <row r="14">
      <c r="A14" s="16" t="inlineStr">
        <is>
          <t>Business Analyst</t>
        </is>
      </c>
      <c r="B14" s="17" t="inlineStr">
        <is>
          <t>5 to 8</t>
        </is>
      </c>
      <c r="C14" s="14" t="n">
        <v>30</v>
      </c>
      <c r="F14" s="15">
        <f>A14&amp;"|"&amp;B14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I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3" customWidth="1" min="4" max="4"/>
    <col width="16" customWidth="1" min="5" max="5"/>
    <col width="16" customWidth="1" min="6" max="6"/>
    <col width="2" customWidth="1" min="7" max="7"/>
    <col width="17" customWidth="1" min="8" max="8"/>
    <col width="13" customWidth="1" min="9" max="9"/>
  </cols>
  <sheetData>
    <row r="1" ht="26" customHeight="1">
      <c r="A1" s="1" t="inlineStr">
        <is>
          <t>Billing Simulator - Time &amp; Material (TNM)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YELLOW = inputs. Revenue, profit and margin are live formulas.</t>
        </is>
      </c>
      <c r="B2" s="2" t="n"/>
      <c r="C2" s="2" t="n"/>
      <c r="D2" s="2" t="n"/>
      <c r="E2" s="2" t="n"/>
      <c r="F2" s="2" t="n"/>
    </row>
    <row r="3"/>
    <row r="4" ht="18" customHeight="1">
      <c r="A4" s="4" t="inlineStr">
        <is>
          <t>Company calendar &amp; hours</t>
        </is>
      </c>
      <c r="B4" s="5" t="n"/>
      <c r="C4" s="5" t="n"/>
      <c r="H4" s="18" t="inlineStr">
        <is>
          <t>Monthly</t>
        </is>
      </c>
      <c r="I4" s="18" t="inlineStr">
        <is>
          <t>$</t>
        </is>
      </c>
    </row>
    <row r="5">
      <c r="A5" s="12" t="inlineStr">
        <is>
          <t>Hours per day</t>
        </is>
      </c>
      <c r="B5" s="19" t="n">
        <v>8</v>
      </c>
      <c r="H5" s="20" t="inlineStr">
        <is>
          <t>Revenue</t>
        </is>
      </c>
      <c r="I5" s="21">
        <f>B34</f>
        <v/>
      </c>
    </row>
    <row r="6">
      <c r="A6" s="16" t="inlineStr">
        <is>
          <t>Weekend days / year</t>
        </is>
      </c>
      <c r="B6" s="22" t="n">
        <v>104</v>
      </c>
      <c r="H6" s="20" t="inlineStr">
        <is>
          <t>Expenses</t>
        </is>
      </c>
      <c r="I6" s="21">
        <f>B36</f>
        <v/>
      </c>
    </row>
    <row r="7">
      <c r="A7" s="12" t="inlineStr">
        <is>
          <t>Public holidays / year</t>
        </is>
      </c>
      <c r="B7" s="19" t="n">
        <v>10</v>
      </c>
      <c r="H7" s="20" t="inlineStr">
        <is>
          <t>Profit</t>
        </is>
      </c>
      <c r="I7" s="21">
        <f>B38</f>
        <v/>
      </c>
    </row>
    <row r="8">
      <c r="A8" s="12" t="inlineStr">
        <is>
          <t>Leaves / year</t>
        </is>
      </c>
      <c r="B8" s="19" t="n">
        <v>21</v>
      </c>
    </row>
    <row r="9">
      <c r="A9" s="16" t="inlineStr">
        <is>
          <t>Billable days / year</t>
        </is>
      </c>
      <c r="B9" s="22">
        <f>365-B6-B7-B8</f>
        <v/>
      </c>
    </row>
    <row r="10">
      <c r="A10" s="16" t="inlineStr">
        <is>
          <t>Billable hours / year (per resource)</t>
        </is>
      </c>
      <c r="B10" s="22">
        <f>B9*B5</f>
        <v/>
      </c>
    </row>
    <row r="11">
      <c r="A11" s="16" t="inlineStr">
        <is>
          <t>Billable hours / month (per resource)</t>
        </is>
      </c>
      <c r="B11" s="23">
        <f>B10/12</f>
        <v/>
      </c>
    </row>
    <row r="12"/>
    <row r="13" ht="18" customHeight="1">
      <c r="A13" s="4" t="inlineStr">
        <is>
          <t>Project team   (pick role &amp; experience - rate auto-fills from the Rate Card)</t>
        </is>
      </c>
      <c r="B13" s="5" t="n"/>
      <c r="C13" s="5" t="n"/>
      <c r="D13" s="5" t="n"/>
      <c r="E13" s="5" t="n"/>
      <c r="F13" s="5" t="n"/>
    </row>
    <row r="14">
      <c r="A14" s="10" t="inlineStr">
        <is>
          <t>Role</t>
        </is>
      </c>
      <c r="B14" s="11" t="inlineStr">
        <is>
          <t>Experience</t>
        </is>
      </c>
      <c r="C14" s="11" t="inlineStr">
        <is>
          <t>Count</t>
        </is>
      </c>
      <c r="D14" s="11" t="inlineStr">
        <is>
          <t>Rate/hr</t>
        </is>
      </c>
      <c r="E14" s="11" t="inlineStr">
        <is>
          <t>Monthly Revenue</t>
        </is>
      </c>
      <c r="F14" s="11" t="inlineStr">
        <is>
          <t>Yearly Revenue</t>
        </is>
      </c>
    </row>
    <row r="15">
      <c r="A15" s="24" t="inlineStr">
        <is>
          <t>Sr Dev</t>
        </is>
      </c>
      <c r="B15" s="25" t="inlineStr">
        <is>
          <t>5 to 8</t>
        </is>
      </c>
      <c r="C15" s="19" t="n">
        <v>3</v>
      </c>
      <c r="D15" s="26">
        <f>IFERROR(INDEX('Rate Card'!$C$5:$C$14,MATCH(A15&amp;"|"&amp;B15,'Rate Card'!$F$5:$F$14,0)),0)</f>
        <v/>
      </c>
      <c r="E15" s="27">
        <f>C15*D15*$B$11</f>
        <v/>
      </c>
      <c r="F15" s="27">
        <f>C15*D15*$B$10</f>
        <v/>
      </c>
    </row>
    <row r="16">
      <c r="A16" s="24" t="inlineStr">
        <is>
          <t>Sr Dev</t>
        </is>
      </c>
      <c r="B16" s="25" t="inlineStr">
        <is>
          <t>8 to 10</t>
        </is>
      </c>
      <c r="C16" s="19" t="n">
        <v>2</v>
      </c>
      <c r="D16" s="28">
        <f>IFERROR(INDEX('Rate Card'!$C$5:$C$14,MATCH(A16&amp;"|"&amp;B16,'Rate Card'!$F$5:$F$14,0)),0)</f>
        <v/>
      </c>
      <c r="E16" s="29">
        <f>C16*D16*$B$11</f>
        <v/>
      </c>
      <c r="F16" s="29">
        <f>C16*D16*$B$10</f>
        <v/>
      </c>
    </row>
    <row r="17">
      <c r="A17" s="24" t="inlineStr">
        <is>
          <t>Tech Lead (Dev)</t>
        </is>
      </c>
      <c r="B17" s="25" t="inlineStr">
        <is>
          <t>9 to 12</t>
        </is>
      </c>
      <c r="C17" s="19" t="n">
        <v>1</v>
      </c>
      <c r="D17" s="26">
        <f>IFERROR(INDEX('Rate Card'!$C$5:$C$14,MATCH(A17&amp;"|"&amp;B17,'Rate Card'!$F$5:$F$14,0)),0)</f>
        <v/>
      </c>
      <c r="E17" s="27">
        <f>C17*D17*$B$11</f>
        <v/>
      </c>
      <c r="F17" s="27">
        <f>C17*D17*$B$10</f>
        <v/>
      </c>
    </row>
    <row r="18">
      <c r="A18" s="24" t="inlineStr">
        <is>
          <t>Sr QA</t>
        </is>
      </c>
      <c r="B18" s="25" t="inlineStr">
        <is>
          <t>5 to 8</t>
        </is>
      </c>
      <c r="C18" s="19" t="n">
        <v>1</v>
      </c>
      <c r="D18" s="28">
        <f>IFERROR(INDEX('Rate Card'!$C$5:$C$14,MATCH(A18&amp;"|"&amp;B18,'Rate Card'!$F$5:$F$14,0)),0)</f>
        <v/>
      </c>
      <c r="E18" s="29">
        <f>C18*D18*$B$11</f>
        <v/>
      </c>
      <c r="F18" s="29">
        <f>C18*D18*$B$10</f>
        <v/>
      </c>
    </row>
    <row r="19">
      <c r="A19" s="24" t="inlineStr">
        <is>
          <t>Lead QA</t>
        </is>
      </c>
      <c r="B19" s="25" t="inlineStr">
        <is>
          <t>9 to 12</t>
        </is>
      </c>
      <c r="C19" s="19" t="n">
        <v>2</v>
      </c>
      <c r="D19" s="26">
        <f>IFERROR(INDEX('Rate Card'!$C$5:$C$14,MATCH(A19&amp;"|"&amp;B19,'Rate Card'!$F$5:$F$14,0)),0)</f>
        <v/>
      </c>
      <c r="E19" s="27">
        <f>C19*D19*$B$11</f>
        <v/>
      </c>
      <c r="F19" s="27">
        <f>C19*D19*$B$10</f>
        <v/>
      </c>
    </row>
    <row r="20">
      <c r="A20" s="24" t="inlineStr">
        <is>
          <t>PO</t>
        </is>
      </c>
      <c r="B20" s="25" t="inlineStr">
        <is>
          <t>12 to 14</t>
        </is>
      </c>
      <c r="C20" s="19" t="n">
        <v>1</v>
      </c>
      <c r="D20" s="28">
        <f>IFERROR(INDEX('Rate Card'!$C$5:$C$14,MATCH(A20&amp;"|"&amp;B20,'Rate Card'!$F$5:$F$14,0)),0)</f>
        <v/>
      </c>
      <c r="E20" s="29">
        <f>C20*D20*$B$11</f>
        <v/>
      </c>
      <c r="F20" s="29">
        <f>C20*D20*$B$10</f>
        <v/>
      </c>
    </row>
    <row r="21">
      <c r="A21" s="30" t="inlineStr">
        <is>
          <t>Total team</t>
        </is>
      </c>
      <c r="B21" s="31" t="n"/>
      <c r="C21" s="32">
        <f>SUM(C15:C20)</f>
        <v/>
      </c>
      <c r="D21" s="31" t="n"/>
      <c r="E21" s="33">
        <f>SUM(E15:E20)</f>
        <v/>
      </c>
      <c r="F21" s="33">
        <f>SUM(F15:F20)</f>
        <v/>
      </c>
    </row>
    <row r="22"/>
    <row r="23" ht="18" customHeight="1">
      <c r="A23" s="4" t="inlineStr">
        <is>
          <t>Project expenses (cost)</t>
        </is>
      </c>
      <c r="B23" s="5" t="n"/>
      <c r="C23" s="5" t="n"/>
      <c r="D23" s="5" t="n"/>
      <c r="E23" s="5" t="n"/>
      <c r="F23" s="5" t="n"/>
    </row>
    <row r="24">
      <c r="A24" s="10" t="inlineStr">
        <is>
          <t>Category</t>
        </is>
      </c>
      <c r="B24" s="11" t="inlineStr">
        <is>
          <t>Amount</t>
        </is>
      </c>
      <c r="C24" s="11" t="inlineStr">
        <is>
          <t>Frequency</t>
        </is>
      </c>
      <c r="D24" s="11" t="inlineStr">
        <is>
          <t>Yearly Amount</t>
        </is>
      </c>
    </row>
    <row r="25">
      <c r="A25" s="24" t="inlineStr">
        <is>
          <t>Salaries</t>
        </is>
      </c>
      <c r="B25" s="34" t="n">
        <v>24000</v>
      </c>
      <c r="C25" s="25" t="inlineStr">
        <is>
          <t>monthly</t>
        </is>
      </c>
      <c r="D25" s="27">
        <f>IF(C25="monthly",B25*12,B25)</f>
        <v/>
      </c>
    </row>
    <row r="26">
      <c r="A26" s="24" t="inlineStr">
        <is>
          <t>Infrastructure / seats</t>
        </is>
      </c>
      <c r="B26" s="34" t="n">
        <v>2500</v>
      </c>
      <c r="C26" s="25" t="inlineStr">
        <is>
          <t>monthly</t>
        </is>
      </c>
      <c r="D26" s="29">
        <f>IF(C26="monthly",B26*12,B26)</f>
        <v/>
      </c>
    </row>
    <row r="27">
      <c r="A27" s="24" t="inlineStr">
        <is>
          <t>Software licenses</t>
        </is>
      </c>
      <c r="B27" s="34" t="n">
        <v>1200</v>
      </c>
      <c r="C27" s="25" t="inlineStr">
        <is>
          <t>monthly</t>
        </is>
      </c>
      <c r="D27" s="27">
        <f>IF(C27="monthly",B27*12,B27)</f>
        <v/>
      </c>
    </row>
    <row r="28">
      <c r="A28" s="24" t="inlineStr">
        <is>
          <t>Travel</t>
        </is>
      </c>
      <c r="B28" s="34" t="n">
        <v>700</v>
      </c>
      <c r="C28" s="25" t="inlineStr">
        <is>
          <t>monthly</t>
        </is>
      </c>
      <c r="D28" s="29">
        <f>IF(C28="monthly",B28*12,B28)</f>
        <v/>
      </c>
    </row>
    <row r="29">
      <c r="A29" s="24" t="inlineStr">
        <is>
          <t>Training</t>
        </is>
      </c>
      <c r="B29" s="34" t="n">
        <v>6000</v>
      </c>
      <c r="C29" s="25" t="inlineStr">
        <is>
          <t>yearly</t>
        </is>
      </c>
      <c r="D29" s="27">
        <f>IF(C29="monthly",B29*12,B29)</f>
        <v/>
      </c>
    </row>
    <row r="30">
      <c r="A30" s="30" t="inlineStr">
        <is>
          <t>Total yearly expenses</t>
        </is>
      </c>
      <c r="B30" s="31" t="n"/>
      <c r="C30" s="31" t="n"/>
      <c r="D30" s="33">
        <f>SUM(D25:D29)</f>
        <v/>
      </c>
    </row>
    <row r="31">
      <c r="A31" s="30" t="inlineStr">
        <is>
          <t>Total monthly expenses</t>
        </is>
      </c>
      <c r="B31" s="31" t="n"/>
      <c r="C31" s="31" t="n"/>
      <c r="D31" s="33">
        <f>D30/12</f>
        <v/>
      </c>
    </row>
    <row r="32"/>
    <row r="33" ht="18" customHeight="1">
      <c r="A33" s="4" t="inlineStr">
        <is>
          <t>Results</t>
        </is>
      </c>
      <c r="B33" s="5" t="n"/>
    </row>
    <row r="34">
      <c r="A34" s="35" t="inlineStr">
        <is>
          <t>Monthly billing (revenue)</t>
        </is>
      </c>
      <c r="B34" s="36">
        <f>E21</f>
        <v/>
      </c>
    </row>
    <row r="35">
      <c r="A35" s="6" t="inlineStr">
        <is>
          <t>Yearly billing (revenue)</t>
        </is>
      </c>
      <c r="B35" s="37">
        <f>F21</f>
        <v/>
      </c>
    </row>
    <row r="36">
      <c r="A36" s="35" t="inlineStr">
        <is>
          <t>Monthly expenses (cost)</t>
        </is>
      </c>
      <c r="B36" s="36">
        <f>D31</f>
        <v/>
      </c>
    </row>
    <row r="37">
      <c r="A37" s="6" t="inlineStr">
        <is>
          <t>Yearly expenses (cost)</t>
        </is>
      </c>
      <c r="B37" s="37">
        <f>D30</f>
        <v/>
      </c>
    </row>
    <row r="38">
      <c r="A38" s="35" t="inlineStr">
        <is>
          <t>Monthly profit</t>
        </is>
      </c>
      <c r="B38" s="36">
        <f>B34-B36</f>
        <v/>
      </c>
    </row>
    <row r="39">
      <c r="A39" s="6" t="inlineStr">
        <is>
          <t>Yearly profit</t>
        </is>
      </c>
      <c r="B39" s="37">
        <f>B35-B37</f>
        <v/>
      </c>
    </row>
    <row r="40">
      <c r="A40" s="38" t="inlineStr">
        <is>
          <t>Profit margin %</t>
        </is>
      </c>
      <c r="B40" s="39">
        <f>IFERROR(B39/B35,0)</f>
        <v/>
      </c>
    </row>
  </sheetData>
  <mergeCells count="9">
    <mergeCell ref="A2:F2"/>
    <mergeCell ref="A21:B21"/>
    <mergeCell ref="A13:F13"/>
    <mergeCell ref="A33:B33"/>
    <mergeCell ref="A1:F1"/>
    <mergeCell ref="A23:F23"/>
    <mergeCell ref="A31:C31"/>
    <mergeCell ref="A30:C30"/>
    <mergeCell ref="A4:C4"/>
  </mergeCells>
  <conditionalFormatting sqref="D15:D20">
    <cfRule type="cellIs" priority="1" operator="equal" dxfId="0">
      <formula>0</formula>
    </cfRule>
  </conditionalFormatting>
  <conditionalFormatting sqref="B40">
    <cfRule type="cellIs" priority="2" operator="greaterThanOrEqual" dxfId="1">
      <formula>0.2</formula>
    </cfRule>
    <cfRule type="cellIs" priority="3" operator="lessThan" dxfId="2">
      <formula>0.15</formula>
    </cfRule>
  </conditionalFormatting>
  <dataValidations count="4">
    <dataValidation sqref="B5" showDropDown="0" showInputMessage="0" showErrorMessage="0" allowBlank="0" type="list">
      <formula1>"8,9"</formula1>
    </dataValidation>
    <dataValidation sqref="C25:C29" showDropDown="0" showInputMessage="0" showErrorMessage="0" allowBlank="0" type="list">
      <formula1>"monthly,yearly"</formula1>
    </dataValidation>
    <dataValidation sqref="A15:A20" showDropDown="0" showInputMessage="0" showErrorMessage="0" allowBlank="1" type="list">
      <formula1>"Architect,Business Analyst,Developer,Lead QA,PO,QA Engineer,Sr Dev,Sr QA,Tech Lead (Dev)"</formula1>
    </dataValidation>
    <dataValidation sqref="B15:B20" showDropDown="0" showInputMessage="0" showErrorMessage="0" allowBlank="1" type="list">
      <formula1>"0 to 3,3 to 5,5 to 8,8 to 10,9 to 12,12 to 14"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P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" customWidth="1" min="4" max="4"/>
    <col hidden="1" width="11" customWidth="1" min="14" max="14"/>
    <col hidden="1" width="13" customWidth="1" min="15" max="15"/>
    <col hidden="1" width="13" customWidth="1" min="16" max="16"/>
  </cols>
  <sheetData>
    <row r="1" ht="26" customHeight="1">
      <c r="A1" s="1" t="inlineStr">
        <is>
          <t>Outcome-Based Cost Simulation</t>
        </is>
      </c>
      <c r="B1" s="2" t="n"/>
      <c r="C1" s="2" t="n"/>
    </row>
    <row r="2" ht="16" customHeight="1">
      <c r="A2" s="3" t="inlineStr">
        <is>
          <t>Two capacity cases. YELLOW = inputs. Team &amp; cost are inherited from Billing (TNM).</t>
        </is>
      </c>
      <c r="B2" s="2" t="n"/>
      <c r="C2" s="2" t="n"/>
    </row>
    <row r="3"/>
    <row r="4" ht="18" customHeight="1">
      <c r="A4" s="4" t="inlineStr">
        <is>
          <t>Inputs</t>
        </is>
      </c>
      <c r="B4" s="5" t="n"/>
      <c r="C4" s="5" t="n"/>
    </row>
    <row r="5">
      <c r="A5" s="40" t="inlineStr">
        <is>
          <t>Headcount (from Billing)</t>
        </is>
      </c>
      <c r="B5" s="32">
        <f>'Billing (TNM)'!C21</f>
        <v/>
      </c>
      <c r="N5" s="18" t="inlineStr">
        <is>
          <t>Client pays</t>
        </is>
      </c>
      <c r="O5" s="18" t="inlineStr">
        <is>
          <t>TNM</t>
        </is>
      </c>
      <c r="P5" s="18" t="inlineStr">
        <is>
          <t>Outcome</t>
        </is>
      </c>
    </row>
    <row r="6">
      <c r="A6" s="12" t="inlineStr">
        <is>
          <t>Per-person SP / sprint - Case 1</t>
        </is>
      </c>
      <c r="B6" s="19" t="n">
        <v>7</v>
      </c>
      <c r="N6" s="20" t="inlineStr">
        <is>
          <t>Case 1</t>
        </is>
      </c>
      <c r="O6" s="21">
        <f>$B$13</f>
        <v/>
      </c>
      <c r="P6" s="21">
        <f>B25</f>
        <v/>
      </c>
    </row>
    <row r="7">
      <c r="A7" s="12" t="inlineStr">
        <is>
          <t>Per-person SP / sprint - Case 2</t>
        </is>
      </c>
      <c r="B7" s="19" t="n">
        <v>8</v>
      </c>
      <c r="N7" s="20" t="inlineStr">
        <is>
          <t>Case 2</t>
        </is>
      </c>
      <c r="O7" s="21">
        <f>$B$13</f>
        <v/>
      </c>
      <c r="P7" s="21">
        <f>C25</f>
        <v/>
      </c>
    </row>
    <row r="8">
      <c r="A8" s="12" t="inlineStr">
        <is>
          <t>Capacity reserve %</t>
        </is>
      </c>
      <c r="B8" s="41" t="n">
        <v>0.15</v>
      </c>
    </row>
    <row r="9">
      <c r="A9" s="12" t="inlineStr">
        <is>
          <t>Sprints per month</t>
        </is>
      </c>
      <c r="B9" s="19" t="n">
        <v>2</v>
      </c>
      <c r="N9" s="18" t="inlineStr">
        <is>
          <t>Opus margin</t>
        </is>
      </c>
      <c r="O9" s="18" t="inlineStr">
        <is>
          <t>TNM</t>
        </is>
      </c>
      <c r="P9" s="18" t="inlineStr">
        <is>
          <t>Outcome</t>
        </is>
      </c>
    </row>
    <row r="10">
      <c r="A10" s="12" t="inlineStr">
        <is>
          <t>Minimum invoice SP</t>
        </is>
      </c>
      <c r="B10" s="19" t="n">
        <v>120</v>
      </c>
      <c r="N10" s="20" t="inlineStr">
        <is>
          <t>Case 1</t>
        </is>
      </c>
      <c r="O10" s="42">
        <f>B28</f>
        <v/>
      </c>
      <c r="P10" s="42">
        <f>B29</f>
        <v/>
      </c>
    </row>
    <row r="11">
      <c r="A11" s="12" t="inlineStr">
        <is>
          <t>Outcome efficiency gain %</t>
        </is>
      </c>
      <c r="B11" s="41" t="n">
        <v>0.1</v>
      </c>
      <c r="N11" s="20" t="inlineStr">
        <is>
          <t>Case 2</t>
        </is>
      </c>
      <c r="O11" s="42">
        <f>C28</f>
        <v/>
      </c>
      <c r="P11" s="42">
        <f>C29</f>
        <v/>
      </c>
    </row>
    <row r="12">
      <c r="A12" s="12" t="inlineStr">
        <is>
          <t>Client discount %</t>
        </is>
      </c>
      <c r="B12" s="41" t="n">
        <v>0.05</v>
      </c>
    </row>
    <row r="13">
      <c r="A13" s="40" t="inlineStr">
        <is>
          <t>TNM monthly billing  (R)</t>
        </is>
      </c>
      <c r="B13" s="33">
        <f>'Billing (TNM)'!$B$34</f>
        <v/>
      </c>
      <c r="N13" s="18" t="inlineStr">
        <is>
          <t>Price / SP</t>
        </is>
      </c>
      <c r="O13" s="18" t="inlineStr">
        <is>
          <t>Break-even</t>
        </is>
      </c>
      <c r="P13" s="18" t="inlineStr">
        <is>
          <t>Recommended</t>
        </is>
      </c>
    </row>
    <row r="14">
      <c r="A14" s="40" t="inlineStr">
        <is>
          <t>Monthly cost  (C)</t>
        </is>
      </c>
      <c r="B14" s="33">
        <f>'Billing (TNM)'!$B$36</f>
        <v/>
      </c>
      <c r="N14" s="20" t="inlineStr">
        <is>
          <t>Case 1</t>
        </is>
      </c>
      <c r="O14" s="43">
        <f>B23</f>
        <v/>
      </c>
      <c r="P14" s="43">
        <f>B24</f>
        <v/>
      </c>
    </row>
    <row r="15">
      <c r="N15" s="20" t="inlineStr">
        <is>
          <t>Case 2</t>
        </is>
      </c>
      <c r="O15" s="43">
        <f>C23</f>
        <v/>
      </c>
      <c r="P15" s="43">
        <f>C24</f>
        <v/>
      </c>
    </row>
    <row r="16" ht="18" customHeight="1">
      <c r="A16" s="4" t="inlineStr">
        <is>
          <t>Case 1 vs Case 2</t>
        </is>
      </c>
      <c r="B16" s="5" t="n"/>
      <c r="C16" s="5" t="n"/>
    </row>
    <row r="17">
      <c r="A17" s="10" t="inlineStr">
        <is>
          <t>Metric</t>
        </is>
      </c>
      <c r="B17" s="11" t="inlineStr">
        <is>
          <t>Case 1</t>
        </is>
      </c>
      <c r="C17" s="11" t="inlineStr">
        <is>
          <t>Case 2</t>
        </is>
      </c>
    </row>
    <row r="18">
      <c r="A18" s="12" t="inlineStr">
        <is>
          <t>Per-person SP / sprint</t>
        </is>
      </c>
      <c r="B18" s="44">
        <f>$B$6</f>
        <v/>
      </c>
      <c r="C18" s="44">
        <f>$B$7</f>
        <v/>
      </c>
    </row>
    <row r="19">
      <c r="A19" s="16" t="inlineStr">
        <is>
          <t>Gross team velocity / sprint</t>
        </is>
      </c>
      <c r="B19" s="45">
        <f>B18*$B$5</f>
        <v/>
      </c>
      <c r="C19" s="45">
        <f>C18*$B$5</f>
        <v/>
      </c>
    </row>
    <row r="20">
      <c r="A20" s="12" t="inlineStr">
        <is>
          <t>Effective velocity (after reserve)</t>
        </is>
      </c>
      <c r="B20" s="46">
        <f>B19*(1-$B$8)</f>
        <v/>
      </c>
      <c r="C20" s="46">
        <f>C19*(1-$B$8)</f>
        <v/>
      </c>
    </row>
    <row r="21">
      <c r="A21" s="16" t="inlineStr">
        <is>
          <t>Deliverable SP / month</t>
        </is>
      </c>
      <c r="B21" s="47">
        <f>B20*$B$9</f>
        <v/>
      </c>
      <c r="C21" s="47">
        <f>C20*$B$9</f>
        <v/>
      </c>
    </row>
    <row r="22">
      <c r="A22" s="12" t="inlineStr">
        <is>
          <t>Meets min invoice?</t>
        </is>
      </c>
      <c r="B22" s="13">
        <f>IF(B21&gt;=$B$10,"Yes","No (short)")</f>
        <v/>
      </c>
      <c r="C22" s="13">
        <f>IF(C21&gt;=$B$10,"Yes","No (short)")</f>
        <v/>
      </c>
    </row>
    <row r="23">
      <c r="A23" s="16" t="inlineStr">
        <is>
          <t>Break-even price / SP</t>
        </is>
      </c>
      <c r="B23" s="28">
        <f>IFERROR($B$13/B21,0)</f>
        <v/>
      </c>
      <c r="C23" s="28">
        <f>IFERROR($B$13/C21,0)</f>
        <v/>
      </c>
    </row>
    <row r="24">
      <c r="A24" s="38" t="inlineStr">
        <is>
          <t>Recommended price / SP</t>
        </is>
      </c>
      <c r="B24" s="48">
        <f>B23*(1-$B$12)</f>
        <v/>
      </c>
      <c r="C24" s="48">
        <f>C23*(1-$B$12)</f>
        <v/>
      </c>
    </row>
    <row r="25">
      <c r="A25" s="38" t="inlineStr">
        <is>
          <t>Monthly outcome bill</t>
        </is>
      </c>
      <c r="B25" s="49">
        <f>B24*B21</f>
        <v/>
      </c>
      <c r="C25" s="49">
        <f>C24*C21</f>
        <v/>
      </c>
    </row>
    <row r="26">
      <c r="A26" s="12" t="inlineStr">
        <is>
          <t>Yearly outcome bill</t>
        </is>
      </c>
      <c r="B26" s="27">
        <f>B25*12</f>
        <v/>
      </c>
      <c r="C26" s="27">
        <f>C25*12</f>
        <v/>
      </c>
    </row>
    <row r="27">
      <c r="A27" s="16" t="inlineStr">
        <is>
          <t>Outcome cost / month</t>
        </is>
      </c>
      <c r="B27" s="29">
        <f>IFERROR($B$14/(1+$B$11),0)</f>
        <v/>
      </c>
      <c r="C27" s="29">
        <f>IFERROR($B$14/(1+$B$11),0)</f>
        <v/>
      </c>
    </row>
    <row r="28">
      <c r="A28" s="12" t="inlineStr">
        <is>
          <t>Opus margin - TNM</t>
        </is>
      </c>
      <c r="B28" s="50">
        <f>IFERROR(($B$13-$B$14)/$B$13,0)</f>
        <v/>
      </c>
      <c r="C28" s="50">
        <f>IFERROR(($B$13-$B$14)/$B$13,0)</f>
        <v/>
      </c>
    </row>
    <row r="29">
      <c r="A29" s="38" t="inlineStr">
        <is>
          <t>Opus margin - Outcome</t>
        </is>
      </c>
      <c r="B29" s="51">
        <f>IFERROR((B25-B27)/B25,0)</f>
        <v/>
      </c>
      <c r="C29" s="51">
        <f>IFERROR((C25-C27)/C25,0)</f>
        <v/>
      </c>
    </row>
    <row r="30">
      <c r="A30" s="12" t="inlineStr">
        <is>
          <t>Margin uplift</t>
        </is>
      </c>
      <c r="B30" s="50">
        <f>B29-B28</f>
        <v/>
      </c>
      <c r="C30" s="50">
        <f>C29-C28</f>
        <v/>
      </c>
    </row>
    <row r="31">
      <c r="A31" s="16" t="inlineStr">
        <is>
          <t>Opus profit - TNM / month</t>
        </is>
      </c>
      <c r="B31" s="29">
        <f>$B$13-$B$14</f>
        <v/>
      </c>
      <c r="C31" s="29">
        <f>$B$13-$B$14</f>
        <v/>
      </c>
    </row>
    <row r="32">
      <c r="A32" s="12" t="inlineStr">
        <is>
          <t>Opus profit - Outcome / month</t>
        </is>
      </c>
      <c r="B32" s="27">
        <f>B25-B27</f>
        <v/>
      </c>
      <c r="C32" s="27">
        <f>C25-C27</f>
        <v/>
      </c>
    </row>
    <row r="33">
      <c r="A33" s="38" t="inlineStr">
        <is>
          <t>Opus extra profit / year</t>
        </is>
      </c>
      <c r="B33" s="49">
        <f>(B32-B31)*12</f>
        <v/>
      </c>
      <c r="C33" s="49">
        <f>(C32-C31)*12</f>
        <v/>
      </c>
    </row>
    <row r="34">
      <c r="A34" s="12" t="inlineStr">
        <is>
          <t>Client saving / month</t>
        </is>
      </c>
      <c r="B34" s="27">
        <f>$B$13-B25</f>
        <v/>
      </c>
      <c r="C34" s="27">
        <f>$B$13-C25</f>
        <v/>
      </c>
    </row>
    <row r="35">
      <c r="A35" s="38" t="inlineStr">
        <is>
          <t>Client saving / year</t>
        </is>
      </c>
      <c r="B35" s="49">
        <f>B34*12</f>
        <v/>
      </c>
      <c r="C35" s="49">
        <f>C34*12</f>
        <v/>
      </c>
    </row>
    <row r="36">
      <c r="A36" s="38" t="inlineStr">
        <is>
          <t>WIN-WIN?</t>
        </is>
      </c>
      <c r="B36" s="52">
        <f>IF(AND(B25&lt;$B$13,(B25-B27)&gt;=($B$13-$B$14)),"YES - WIN-WIN","Not yet")</f>
        <v/>
      </c>
      <c r="C36" s="52">
        <f>IF(AND(C25&lt;$B$13,(C25-C27)&gt;=($B$13-$B$14)),"YES - WIN-WIN","Not yet")</f>
        <v/>
      </c>
    </row>
  </sheetData>
  <mergeCells count="4">
    <mergeCell ref="A1:C1"/>
    <mergeCell ref="A4:C4"/>
    <mergeCell ref="A2:C2"/>
    <mergeCell ref="A16:C16"/>
  </mergeCells>
  <conditionalFormatting sqref="B36">
    <cfRule type="expression" priority="1" dxfId="1">
      <formula>ISNUMBER(SEARCH("WIN",B36))</formula>
    </cfRule>
    <cfRule type="expression" priority="2" dxfId="3">
      <formula>NOT(ISNUMBER(SEARCH("WIN",B36)))</formula>
    </cfRule>
  </conditionalFormatting>
  <conditionalFormatting sqref="C36">
    <cfRule type="expression" priority="3" dxfId="1">
      <formula>ISNUMBER(SEARCH("WIN",C36))</formula>
    </cfRule>
    <cfRule type="expression" priority="4" dxfId="3">
      <formula>NOT(ISNUMBER(SEARCH("WIN",C36)))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" customWidth="1" min="3" max="3"/>
    <col width="24" customWidth="1" min="4" max="4"/>
    <col width="16" customWidth="1" min="5" max="5"/>
  </cols>
  <sheetData>
    <row r="1" ht="26" customHeight="1">
      <c r="A1" s="1" t="inlineStr">
        <is>
          <t>Dashboard - TNM vs Outcome (Case 2, feasible)</t>
        </is>
      </c>
      <c r="B1" s="2" t="n"/>
      <c r="C1" s="2" t="n"/>
      <c r="D1" s="2" t="n"/>
      <c r="E1" s="2" t="n"/>
    </row>
    <row r="2" ht="16" customHeight="1">
      <c r="A2" s="3" t="inlineStr">
        <is>
          <t>Headline verdict for the 8 SP/person case.</t>
        </is>
      </c>
      <c r="B2" s="2" t="n"/>
      <c r="C2" s="2" t="n"/>
      <c r="D2" s="2" t="n"/>
      <c r="E2" s="2" t="n"/>
    </row>
    <row r="3"/>
    <row r="4" ht="18" customHeight="1">
      <c r="A4" s="4" t="inlineStr">
        <is>
          <t>Headline numbers</t>
        </is>
      </c>
      <c r="B4" s="5" t="n"/>
      <c r="D4" s="53" t="inlineStr">
        <is>
          <t>Who benefits (annual $)</t>
        </is>
      </c>
    </row>
    <row r="5">
      <c r="A5" s="35" t="inlineStr">
        <is>
          <t>TNM monthly billing</t>
        </is>
      </c>
      <c r="B5" s="54">
        <f>Outcome!B13</f>
        <v/>
      </c>
      <c r="D5" s="20" t="inlineStr">
        <is>
          <t>Client saving</t>
        </is>
      </c>
      <c r="E5" s="21">
        <f>Outcome!C35</f>
        <v/>
      </c>
    </row>
    <row r="6">
      <c r="A6" s="6" t="inlineStr">
        <is>
          <t>TNM yearly billing</t>
        </is>
      </c>
      <c r="B6" s="55">
        <f>Outcome!B13*12</f>
        <v/>
      </c>
      <c r="D6" s="20" t="inlineStr">
        <is>
          <t>Opus extra profit</t>
        </is>
      </c>
      <c r="E6" s="21">
        <f>Outcome!C33</f>
        <v/>
      </c>
    </row>
    <row r="7">
      <c r="A7" s="35" t="inlineStr">
        <is>
          <t>TNM margin</t>
        </is>
      </c>
      <c r="B7" s="56">
        <f>Outcome!C28</f>
        <v/>
      </c>
    </row>
    <row r="8">
      <c r="A8" s="6" t="inlineStr">
        <is>
          <t>Outcome monthly bill</t>
        </is>
      </c>
      <c r="B8" s="55">
        <f>Outcome!C25</f>
        <v/>
      </c>
    </row>
    <row r="9">
      <c r="A9" s="38" t="inlineStr">
        <is>
          <t>Outcome margin</t>
        </is>
      </c>
      <c r="B9" s="39">
        <f>Outcome!C29</f>
        <v/>
      </c>
    </row>
    <row r="10">
      <c r="A10" s="38" t="inlineStr">
        <is>
          <t>Opus extra profit / year</t>
        </is>
      </c>
      <c r="B10" s="57">
        <f>Outcome!C33</f>
        <v/>
      </c>
    </row>
    <row r="11">
      <c r="A11" s="38" t="inlineStr">
        <is>
          <t>Client saving / year</t>
        </is>
      </c>
      <c r="B11" s="57">
        <f>Outcome!C35</f>
        <v/>
      </c>
    </row>
    <row r="12"/>
    <row r="13">
      <c r="A13" s="58">
        <f>Outcome!C36</f>
        <v/>
      </c>
      <c r="B13" s="59" t="n"/>
    </row>
    <row r="14">
      <c r="A14" s="60" t="n"/>
      <c r="B14" s="60" t="n"/>
    </row>
    <row r="15"/>
    <row r="16">
      <c r="A16" s="61" t="inlineStr">
        <is>
          <t>Both parties end up better off: the client pays less than TNM while Opus earns more - the efficiency Opus keeps under Outcome funds a price the client still finds cheaper.</t>
        </is>
      </c>
    </row>
    <row r="17"/>
    <row r="18"/>
    <row r="19"/>
    <row r="20"/>
    <row r="21"/>
  </sheetData>
  <mergeCells count="5">
    <mergeCell ref="A4:B4"/>
    <mergeCell ref="A16:B21"/>
    <mergeCell ref="A13:B14"/>
    <mergeCell ref="A2:E2"/>
    <mergeCell ref="A1:E1"/>
  </mergeCells>
  <conditionalFormatting sqref="A13">
    <cfRule type="expression" priority="1" dxfId="4">
      <formula>ISNUMBER(SEARCH("WIN",A13))</formula>
    </cfRule>
    <cfRule type="expression" priority="2" dxfId="5">
      <formula>NOT(ISNUMBER(SEARCH("WIN",A13)))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2026-06-22T19:05:41Z</dcterms:created>
  <dcterms:modified xmlns:dcterms="http://purl.org/dc/terms/" xmlns:xsi="http://www.w3.org/2001/XMLSchema-instance" xsi:type="dcterms:W3CDTF">2026-06-22T19:05:41Z</dcterms:modified>
</cp:coreProperties>
</file>